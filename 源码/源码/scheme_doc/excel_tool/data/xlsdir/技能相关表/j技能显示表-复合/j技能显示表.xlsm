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775"/>
  </bookViews>
  <sheets>
    <sheet name="Sheet1" sheetId="62" r:id="rId1"/>
    <sheet name="Sheet2" sheetId="63" r:id="rId2"/>
  </sheets>
  <definedNames>
    <definedName name="_xlnm._FilterDatabase" localSheetId="0" hidden="1">Sheet1!$S$1:$S$1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>
      <text>
        <r>
          <rPr>
            <sz val="9"/>
            <rFont val="宋体"/>
            <charset val="134"/>
          </rPr>
          <t>作者:
技能概括，战斗中选择技能时显示</t>
        </r>
      </text>
    </comment>
    <comment ref="G1" authorId="0">
      <text>
        <r>
          <rPr>
            <sz val="9"/>
            <rFont val="宋体"/>
            <charset val="134"/>
          </rPr>
          <t>作者:
消耗=等级*系数a1+系数b1</t>
        </r>
      </text>
    </comment>
    <comment ref="H1" authorId="0">
      <text>
        <r>
          <rPr>
            <sz val="9"/>
            <rFont val="宋体"/>
            <charset val="134"/>
          </rPr>
          <t>作者:
Administrator:
消耗=等级*系数a1+系数b1</t>
        </r>
      </text>
    </comment>
    <comment ref="I1" authorId="0">
      <text>
        <r>
          <rPr>
            <sz val="9"/>
            <rFont val="宋体"/>
            <charset val="134"/>
          </rPr>
          <t>作者:
消耗1=等级*系数a1+系数b1</t>
        </r>
      </text>
    </comment>
    <comment ref="K1" authorId="0">
      <text>
        <r>
          <rPr>
            <sz val="9"/>
            <rFont val="宋体"/>
            <charset val="134"/>
          </rPr>
          <t>作者:
Administrator:
消耗2=等级*系数a2+系数b2</t>
        </r>
      </text>
    </comment>
    <comment ref="L1" authorId="0">
      <text>
        <r>
          <rPr>
            <sz val="9"/>
            <rFont val="宋体"/>
            <charset val="134"/>
          </rPr>
          <t>作者:
消耗2=等级*系数a2+系数b2</t>
        </r>
      </text>
    </comment>
    <comment ref="M1" authorId="0">
      <text>
        <r>
          <rPr>
            <sz val="9"/>
            <rFont val="宋体"/>
            <charset val="134"/>
          </rPr>
          <t>作者:
消耗2=等级*系数a2+系数b2</t>
        </r>
      </text>
    </comment>
    <comment ref="N1" authorId="0">
      <text>
        <r>
          <rPr>
            <sz val="9"/>
            <rFont val="宋体"/>
            <charset val="134"/>
          </rPr>
          <t>选择目标类型 user:
480：选取敌人
4127：选取自己方
1：自己
4126:除自己以外的己方
8192：选取己方空位
4117:己方不包括宠物
1  //战斗主角
2  //主角宠物
4;  //友方角色
8  //友方宠物
16  //友方NPC
32  //敌方角色
64  //敌方宠物
128  //敌方NPC
256  //敌方怪物
512  //夫妻
1024 //结拜
2048 //师徒
8192 //友方地面</t>
        </r>
      </text>
    </comment>
    <comment ref="R1" authorId="0">
      <text>
        <r>
          <rPr>
            <sz val="9"/>
            <rFont val="宋体"/>
            <charset val="134"/>
          </rPr>
          <t>user:
未开启时使用</t>
        </r>
      </text>
    </comment>
    <comment ref="S1" authorId="0">
      <text>
        <r>
          <rPr>
            <sz val="9"/>
            <rFont val="宋体"/>
            <charset val="134"/>
          </rPr>
          <t xml:space="preserve">作者:
战斗中技能界面排序，数值大的排在后面
0=战斗中使用界面不显示
</t>
        </r>
      </text>
    </comment>
    <comment ref="AA1" authorId="0">
      <text>
        <r>
          <rPr>
            <sz val="9"/>
            <rFont val="宋体"/>
            <charset val="134"/>
          </rPr>
          <t>user:
未开启时使用</t>
        </r>
      </text>
    </comment>
  </commentList>
</comments>
</file>

<file path=xl/sharedStrings.xml><?xml version="1.0" encoding="utf-8"?>
<sst xmlns="http://schemas.openxmlformats.org/spreadsheetml/2006/main" count="3697" uniqueCount="670">
  <si>
    <t>技能id</t>
  </si>
  <si>
    <t>技能名</t>
  </si>
  <si>
    <t>技能定位</t>
  </si>
  <si>
    <t>技能类型</t>
  </si>
  <si>
    <t>图标编号</t>
  </si>
  <si>
    <t>消耗1属性编号</t>
  </si>
  <si>
    <t>消耗系数a1</t>
  </si>
  <si>
    <t>消耗系数b1</t>
  </si>
  <si>
    <t>显示消耗1</t>
  </si>
  <si>
    <t>消耗2属性编号</t>
  </si>
  <si>
    <t>消耗系数a2</t>
  </si>
  <si>
    <t>消耗系数b2</t>
  </si>
  <si>
    <t>显示消耗2</t>
  </si>
  <si>
    <t>目标类型</t>
  </si>
  <si>
    <t>战斗内外使用</t>
  </si>
  <si>
    <t>魔法入口</t>
  </si>
  <si>
    <t>技能剧情描述</t>
  </si>
  <si>
    <t>技能描述</t>
  </si>
  <si>
    <t>排序</t>
  </si>
  <si>
    <t>技能描述1</t>
  </si>
  <si>
    <t>技能描述2</t>
  </si>
  <si>
    <t>技能描述3</t>
  </si>
  <si>
    <t>技能描述4</t>
  </si>
  <si>
    <t>技能描述5</t>
  </si>
  <si>
    <t>技能描述6</t>
  </si>
  <si>
    <t>技能描述7</t>
  </si>
  <si>
    <t>技能升级描述</t>
  </si>
  <si>
    <t>技能升级描述1</t>
  </si>
  <si>
    <t>技能升级描述2</t>
  </si>
  <si>
    <t>技能升级描述3</t>
  </si>
  <si>
    <t>技能升级描述4</t>
  </si>
  <si>
    <t>技能升级描述5</t>
  </si>
  <si>
    <t>技能升级描述6</t>
  </si>
  <si>
    <t>技能升级描述7</t>
  </si>
  <si>
    <t>技能等级1</t>
  </si>
  <si>
    <t>技能等级2</t>
  </si>
  <si>
    <t>技能等级3</t>
  </si>
  <si>
    <t>技能等级4</t>
  </si>
  <si>
    <t>技能等级5</t>
  </si>
  <si>
    <t>技能等级6</t>
  </si>
  <si>
    <t>技能等级7</t>
  </si>
  <si>
    <t>为官之道</t>
  </si>
  <si>
    <t>官场如战场，万事休鲁莽。精学为官道，万事皆无妄。</t>
  </si>
  <si>
    <t>无消耗</t>
  </si>
  <si>
    <t>官场如战场，万事休鲁莽。精学为官道，万事皆无妄。大幅度增加物理暴击几率！</t>
  </si>
  <si>
    <t>大唐官府基础技能</t>
  </si>
  <si>
    <t>永久增加角色的物理伤害、气血。</t>
  </si>
  <si>
    <t>破釜沉舟</t>
  </si>
  <si>
    <t>危急时刻，以一敌众，经常起到以少胜多的奇效。</t>
  </si>
  <si>
    <t>消耗：$parameter1$魔法</t>
  </si>
  <si>
    <t>攻击敌方多个目标，伤害结果逐个降低。</t>
  </si>
  <si>
    <t>增加使用时的伤害，40级可攻击3个目标。</t>
  </si>
  <si>
    <t>增加使用时的伤害，70级可攻击4个目标。</t>
  </si>
  <si>
    <t>翩鸿一击</t>
  </si>
  <si>
    <t>翩若惊鸿，婉若游龙。大唐官府深谙兵贵神速的道理。</t>
  </si>
  <si>
    <t>攻击敌方单个目标，并提升自身速度，反击，格挡持续4回合。</t>
  </si>
  <si>
    <t>横扫千军</t>
  </si>
  <si>
    <t>以攻代守，战场上一往无前，给敌人致命打击。</t>
  </si>
  <si>
    <t>消耗：$parameter1$%最大气血</t>
  </si>
  <si>
    <t>攻击目标3次，使用时气血不能低于气血上限的50%，使用后虚弱休息一回合。</t>
  </si>
  <si>
    <t>增加使用时的伤害，永久增加角色的速度。</t>
  </si>
  <si>
    <t>后发制人</t>
  </si>
  <si>
    <t>从孙子兵法中悟出的绝学，避敌锐气而后发制人。</t>
  </si>
  <si>
    <t>临时提高大量双防和封印抵抗，下回合首先出手攻击目标</t>
  </si>
  <si>
    <t>增加使用时的伤害，增加临时提高双防的效果。永久增加角色的封印抵抗</t>
  </si>
  <si>
    <t>杀气诀</t>
  </si>
  <si>
    <t>将全身杀气凝聚于武器上，厚积而薄发。</t>
  </si>
  <si>
    <t>附加5回合的杀气状态，提升物理伤害，物理攻击敌方单人时，如果造成击败则对其它目标再次发动该技能，伤害结果为原先的50%。</t>
  </si>
  <si>
    <t>增加杀气决物伤，永久增加角色的物理防御。</t>
  </si>
  <si>
    <t>嗜血</t>
  </si>
  <si>
    <t>金戈铁马，嗜血沙场。大唐官府弟子有更精壮的体魄。</t>
  </si>
  <si>
    <t>消耗：$parameter1$活力</t>
  </si>
  <si>
    <t>制造一张临时符，可给衣甲增加气血</t>
  </si>
  <si>
    <t>增加临时符附加气血的效果。</t>
  </si>
  <si>
    <t>万剑归一</t>
  </si>
  <si>
    <t>大唐官府门派绝技，手中只一剑，却化作万道剑气飞向敌人，极少有人能在这样的攻势下幸免</t>
  </si>
  <si>
    <t>消耗：$parameter1$愤怒</t>
  </si>
  <si>
    <t>直接对目标发动5-9次攻击，自身气血越低攻击次数越多。伤害是普通攻击的50%，无法被防御和保护，使用后虚弱休息1回合，虚弱休息状态下双防降低。</t>
  </si>
  <si>
    <t>增加技能使用时的效果</t>
  </si>
  <si>
    <t>目空</t>
  </si>
  <si>
    <t>铜墙铁壁：增加人物物理防御</t>
  </si>
  <si>
    <t>无</t>
  </si>
  <si>
    <t>翩鸿</t>
  </si>
  <si>
    <t>千里神行：增加人物速度</t>
  </si>
  <si>
    <t>亢强</t>
  </si>
  <si>
    <r>
      <rPr>
        <sz val="9.5"/>
        <color rgb="FFF73131"/>
        <rFont val="宋体"/>
        <charset val="134"/>
      </rPr>
      <t>坚若磐石：</t>
    </r>
    <r>
      <rPr>
        <sz val="10.5"/>
        <rFont val="宋体"/>
        <charset val="134"/>
      </rPr>
      <t>增加人物法术防御</t>
    </r>
  </si>
  <si>
    <t>干将</t>
  </si>
  <si>
    <r>
      <rPr>
        <sz val="9.5"/>
        <color rgb="FF333333"/>
        <rFont val="宋体"/>
        <charset val="134"/>
      </rPr>
      <t>风驰霆击：</t>
    </r>
    <r>
      <rPr>
        <sz val="10.5"/>
        <color rgb="FF000000"/>
        <rFont val="宋体"/>
        <charset val="134"/>
      </rPr>
      <t>增加人物物理暴击</t>
    </r>
  </si>
  <si>
    <t>惊天动地</t>
  </si>
  <si>
    <t>救死扶伤：增加人物治疗强度</t>
  </si>
  <si>
    <t>破势</t>
  </si>
  <si>
    <r>
      <rPr>
        <sz val="9.5"/>
        <color rgb="FFF73131"/>
        <rFont val="宋体"/>
        <charset val="134"/>
      </rPr>
      <t>道高魔重：</t>
    </r>
    <r>
      <rPr>
        <sz val="10.5"/>
        <rFont val="宋体"/>
        <charset val="134"/>
      </rPr>
      <t>增加人物法术抗暴</t>
    </r>
  </si>
  <si>
    <t>额外能力</t>
  </si>
  <si>
    <t>干将莫邪：增加人物物理伤害</t>
  </si>
  <si>
    <t>勇进</t>
  </si>
  <si>
    <r>
      <rPr>
        <sz val="9.5"/>
        <color rgb="FFF73131"/>
        <rFont val="宋体"/>
        <charset val="134"/>
      </rPr>
      <t>气血方刚：</t>
    </r>
    <r>
      <rPr>
        <sz val="10.5"/>
        <rFont val="宋体"/>
        <charset val="134"/>
      </rPr>
      <t>增加人物气血</t>
    </r>
  </si>
  <si>
    <t>勇武</t>
  </si>
  <si>
    <r>
      <rPr>
        <sz val="10.5"/>
        <rFont val="宋体"/>
        <charset val="134"/>
      </rPr>
      <t>铜墙铁壁</t>
    </r>
    <r>
      <rPr>
        <sz val="9.5"/>
        <color rgb="FFF73131"/>
        <rFont val="宋体"/>
        <charset val="134"/>
      </rPr>
      <t>：</t>
    </r>
    <r>
      <rPr>
        <sz val="10.5"/>
        <rFont val="宋体"/>
        <charset val="134"/>
      </rPr>
      <t>增加人物物理防御</t>
    </r>
  </si>
  <si>
    <t>念心</t>
  </si>
  <si>
    <t>勇念</t>
  </si>
  <si>
    <r>
      <rPr>
        <sz val="9.5"/>
        <color rgb="FFF73131"/>
        <rFont val="宋体"/>
        <charset val="134"/>
      </rPr>
      <t>风驱电击：</t>
    </r>
    <r>
      <rPr>
        <sz val="10.5"/>
        <color rgb="FF000000"/>
        <rFont val="宋体"/>
        <charset val="134"/>
      </rPr>
      <t>增加人物法术暴击</t>
    </r>
  </si>
  <si>
    <t>不惊</t>
  </si>
  <si>
    <t>孤勇</t>
  </si>
  <si>
    <r>
      <rPr>
        <sz val="9.5"/>
        <color rgb="FFF73131"/>
        <rFont val="宋体"/>
        <charset val="134"/>
      </rPr>
      <t>杯弓蛇影：</t>
    </r>
    <r>
      <rPr>
        <sz val="10.5"/>
        <rFont val="宋体"/>
        <charset val="134"/>
      </rPr>
      <t>增加人物物理抗暴</t>
    </r>
  </si>
  <si>
    <t>破军</t>
  </si>
  <si>
    <t>换斗移星：增加人物法术伤害</t>
  </si>
  <si>
    <t>突刺</t>
  </si>
  <si>
    <t>长驱直入</t>
  </si>
  <si>
    <t>静岳</t>
  </si>
  <si>
    <t>神凝</t>
  </si>
  <si>
    <t>突进</t>
  </si>
  <si>
    <t>熟练</t>
  </si>
  <si>
    <t>无双战神</t>
  </si>
  <si>
    <t>救死扶伤：增加人物治疗强度，挂金封印：增加人物封印命中</t>
  </si>
  <si>
    <t>黄庭经</t>
  </si>
  <si>
    <t>道学曰太清，修气心自明。紫阁仙府内，仙人诵黄庭。</t>
  </si>
  <si>
    <t>方寸山基础技能。</t>
  </si>
  <si>
    <t>永久增加角色的封印命中、气血。</t>
  </si>
  <si>
    <t>五雷咒</t>
  </si>
  <si>
    <t>催动霹雳鬼神惊，斩妖除魔仗雷霆。</t>
  </si>
  <si>
    <t>法术攻击3个目标。对首目标概率附加失心符。</t>
  </si>
  <si>
    <t>增加使用时的伤害，60级可攻击4个目标。</t>
  </si>
  <si>
    <t>增加使用时的伤害，70级可攻击5个目标。</t>
  </si>
  <si>
    <t>定身符</t>
  </si>
  <si>
    <t>极为强大的符咒，让敌人无法动弹。</t>
  </si>
  <si>
    <t>封印目标物理和法术，下回合封印命中率降低,且不可连续使用。</t>
  </si>
  <si>
    <t>临时提升命中率封印目标物理和法术，下回合封印命中率降低，且不可连续使用。</t>
  </si>
  <si>
    <t>增加技能使用时的效果。</t>
  </si>
  <si>
    <t>失忆符</t>
  </si>
  <si>
    <t>失传已久的符咒，让敌人心神不定。</t>
  </si>
  <si>
    <t>封印敌方，使敌方无法使用药品，特技。</t>
  </si>
  <si>
    <t>增加技能使用时的效果，永久增加角色的速度。</t>
  </si>
  <si>
    <t>离魂符</t>
  </si>
  <si>
    <t>上古天书中的怪异符咒，让敌人魂魄迷乱，身不由己。</t>
  </si>
  <si>
    <t>以较低命中率混乱目标，使其不分敌我攻击。混乱状态不能被药品解除。</t>
  </si>
  <si>
    <t>增加技能使用时的效果，永久增加角色的封印抵抗。</t>
  </si>
  <si>
    <t>失心符</t>
  </si>
  <si>
    <t>抛出有箴言的符咒，让敌人呆若木鸡，漏洞百出。</t>
  </si>
  <si>
    <t>失传已久的符咒，让敌人心神不定，而自己更加气定神闲。</t>
  </si>
  <si>
    <t>封印目标法术，命中后降低敌方物理防御。</t>
  </si>
  <si>
    <t>增加降低物防效果，永久增加角色的物理防御。</t>
  </si>
  <si>
    <t>神兵护法</t>
  </si>
  <si>
    <t>方寸山弟子可以用符咒召唤神兵之力，让装备更坚固。</t>
  </si>
  <si>
    <t>制造一张临时符，可给头盔增加物理防御。</t>
  </si>
  <si>
    <t>增加临时符附加物理防御的效果。</t>
  </si>
  <si>
    <t>幻音古钟</t>
  </si>
  <si>
    <t>方寸山门派绝技。相传三星洞中有古钟一座，其声响彻万里，神仙鬼怪听闻，无不心旌荡漾。</t>
  </si>
  <si>
    <t>干扰敌方5个目标，随机使其进入失心、定身，离魂状态，持续3回合，首目标必中，其他目标为基础命中率的35%，使用后虚弱休息1回合。</t>
  </si>
  <si>
    <t>雷动</t>
  </si>
  <si>
    <t>奇经八脉</t>
  </si>
  <si>
    <t>黄粱</t>
  </si>
  <si>
    <t>补缺</t>
  </si>
  <si>
    <t>化身</t>
  </si>
  <si>
    <t>斗法</t>
  </si>
  <si>
    <t>鬼念</t>
  </si>
  <si>
    <t>苦缠</t>
  </si>
  <si>
    <t>制约</t>
  </si>
  <si>
    <t>不倦</t>
  </si>
  <si>
    <t>调息</t>
  </si>
  <si>
    <t>吐纳</t>
  </si>
  <si>
    <t>灵威</t>
  </si>
  <si>
    <t>顺势而为</t>
  </si>
  <si>
    <t>灵咒</t>
  </si>
  <si>
    <t>必果</t>
  </si>
  <si>
    <t>精炼</t>
  </si>
  <si>
    <t>幻变</t>
  </si>
  <si>
    <t>专神</t>
  </si>
  <si>
    <t>碎甲</t>
  </si>
  <si>
    <t>拘灵散修</t>
  </si>
  <si>
    <t>变身</t>
  </si>
  <si>
    <t>三位大王从百兽生死相搏中领悟到的高超武艺。</t>
  </si>
  <si>
    <t>三位大王从百兽生死相搏中领悟到的高超武艺。大幅度增加物理暴击几率！</t>
  </si>
  <si>
    <t>狮驼岭基础技能。变身状态下提升物理暴击，是释放鹰击，狮搏，连环击的前提。战斗开始前自动释放一次。</t>
  </si>
  <si>
    <t>增加变身状态的物理暴击效果。永久增加角色的物理伤害</t>
  </si>
  <si>
    <t>鹰击</t>
  </si>
  <si>
    <t>三大王所创绝技，振翅千里发动攻击，敌人避之不及。</t>
  </si>
  <si>
    <t>变身状态下，攻击多个目标，下回合休息。非变身状态，使用变身。</t>
  </si>
  <si>
    <t>增加使用时的伤害，50级可攻击4个单位。</t>
  </si>
  <si>
    <t>增加使用时的伤害，70级可攻击5个单位。</t>
  </si>
  <si>
    <t>增加使用时的伤害，90级可攻击6个单位。</t>
  </si>
  <si>
    <t>狮搏</t>
  </si>
  <si>
    <t>大大王所创绝技，钢齿钢牙，号令万兽无所不从。</t>
  </si>
  <si>
    <t>变身状态下，对目标进行强有力的攻击。非变身状态，使用变身。</t>
  </si>
  <si>
    <t>增加使用时的伤害</t>
  </si>
  <si>
    <t>魔息术</t>
  </si>
  <si>
    <t>以兽王之威，吸纳百兽精魄，恢复精神。</t>
  </si>
  <si>
    <t>为己方4个单位附加状态，回复魔法。持续4回合。</t>
  </si>
  <si>
    <t>永久增加角色的速度</t>
  </si>
  <si>
    <t>象形</t>
  </si>
  <si>
    <t>二大王所创绝技，化鼻为索，让敌人束手待毙。</t>
  </si>
  <si>
    <t>对目标进行攻击并使目标进入封印状态1回合，使用休息1回合。</t>
  </si>
  <si>
    <t>增加使用时的伤害，永久增加角色的封印抵抗</t>
  </si>
  <si>
    <t>连环击</t>
  </si>
  <si>
    <t>集中全部力量，给与敌人最后的疯狂一击。</t>
  </si>
  <si>
    <t>变身状态下，对单个敌人进行4次攻击，变身结束并休息一回合。非变身状态，使用变身。</t>
  </si>
  <si>
    <t>增加使用时的伤害，70级可攻击5次，永久增加角色的气血上限。</t>
  </si>
  <si>
    <t>增加使用时的伤害，90级可攻击6次，永久增加角色的气血上限。</t>
  </si>
  <si>
    <t>神力无穷</t>
  </si>
  <si>
    <t>三位大王神力无边，脾气也大的很，切莫惹怒。</t>
  </si>
  <si>
    <t>制造一张临时符，可给腰带增加愤怒上限</t>
  </si>
  <si>
    <t>增加临时符附加怒气上限的效果</t>
  </si>
  <si>
    <t>鹰击长空</t>
  </si>
  <si>
    <t xml:space="preserve">狮驼岭门派绝技。魔兽能在极度愤怒的情况下，化身上古巨鹰，对敌人发动毁灭性的群体攻击。 </t>
  </si>
  <si>
    <t>狮驼岭门派绝技，魔兽能在极度愤怒的情况下，化身上古巨鹰，对敌人发动毁灭性的群体攻击</t>
  </si>
  <si>
    <t>鹰击的进阶，攻击10个单位，使用后休息1回合</t>
  </si>
  <si>
    <t>爪印</t>
  </si>
  <si>
    <t>化血</t>
  </si>
  <si>
    <t>威压</t>
  </si>
  <si>
    <t>九天</t>
  </si>
  <si>
    <t>怒火</t>
  </si>
  <si>
    <t>死地</t>
  </si>
  <si>
    <t>迅捷</t>
  </si>
  <si>
    <t>宁息</t>
  </si>
  <si>
    <t>怒象</t>
  </si>
  <si>
    <t>魔息</t>
  </si>
  <si>
    <t>狂袭</t>
  </si>
  <si>
    <t>乱击</t>
  </si>
  <si>
    <t>背水</t>
  </si>
  <si>
    <t>驭兽</t>
  </si>
  <si>
    <t>兽王</t>
  </si>
  <si>
    <t>虎啸</t>
  </si>
  <si>
    <t>协战</t>
  </si>
  <si>
    <t>癫狂</t>
  </si>
  <si>
    <t>肝胆</t>
  </si>
  <si>
    <t>嗜血狂魔</t>
  </si>
  <si>
    <t>拘魂诀</t>
  </si>
  <si>
    <t>夜半鬼索魂，哀哭骇人心，拘魂乃地府天责。</t>
  </si>
  <si>
    <t>阴曹地府基础技能。</t>
  </si>
  <si>
    <t>永久增加角色的气血</t>
  </si>
  <si>
    <t>永久增加角色的气血上限</t>
  </si>
  <si>
    <t>阎罗令</t>
  </si>
  <si>
    <t>阎罗王是地狱的主宰，控制人间生死。</t>
  </si>
  <si>
    <t>法术攻击3个目标，玩家施法对首目标附加六道轮回。</t>
  </si>
  <si>
    <t>尸腐毒</t>
  </si>
  <si>
    <t>千年僵尸所带剧毒，触之，轻则伤，重则亡。</t>
  </si>
  <si>
    <t>使目标中毒5回合。给队友回复气血，无法回复宠物。</t>
  </si>
  <si>
    <t>增加伤害和治疗效果，永久增加角色的封印抵抗</t>
  </si>
  <si>
    <t>六道轮回</t>
  </si>
  <si>
    <t>天、人、鬼、畜、修罗、地狱，参透六道，洞察众生弱点。</t>
  </si>
  <si>
    <t>降低敌方4个单位的物理防御，持续5回合</t>
  </si>
  <si>
    <t>60级可作用5个单位，永久增加角色的速度。</t>
  </si>
  <si>
    <t>修罗隐身</t>
  </si>
  <si>
    <t>将日月交替之际的黄昏花蕾召唤而来，催眠敌人。</t>
  </si>
  <si>
    <t>给己方附加隐身状态，提升物理伤害结果，持续3回合。隐身下使用法术、特技、立即显形。</t>
  </si>
  <si>
    <t>永久增加角色的封印抵抗</t>
  </si>
  <si>
    <t>幽冥鬼眼</t>
  </si>
  <si>
    <t>鬼眼幽幽，练就鬼眼，可以看见常人看不见的咒印。</t>
  </si>
  <si>
    <t>战斗中提高己方多人封印抵抗，并使其可以攻击隐身单位。</t>
  </si>
  <si>
    <t>增加作用效果，永久增加角色的治疗强度。</t>
  </si>
  <si>
    <t>尸气漫天</t>
  </si>
  <si>
    <t>汲取阴司幽冥之气，得到法力难侵的神秘力量。</t>
  </si>
  <si>
    <t>制造一张临时符，给鞋子增加法术防御。</t>
  </si>
  <si>
    <t>增加临时符附加法术防御的效果</t>
  </si>
  <si>
    <t>锁魂判官</t>
  </si>
  <si>
    <t xml:space="preserve">阴曹地府门派绝技。喜荣华正好，恨无常又到。地府判官专司锁魂判罪。 </t>
  </si>
  <si>
    <t>对目标造成伤害，使其6回合内无法被复活。使用后休息一回合。</t>
  </si>
  <si>
    <t>阎罗</t>
  </si>
  <si>
    <t>入骨</t>
  </si>
  <si>
    <t>索魂</t>
  </si>
  <si>
    <t>黄泉</t>
  </si>
  <si>
    <t>幽光</t>
  </si>
  <si>
    <t>魂飞</t>
  </si>
  <si>
    <t>回旋</t>
  </si>
  <si>
    <t>聚魂</t>
  </si>
  <si>
    <t>伤魂</t>
  </si>
  <si>
    <t>幽冥</t>
  </si>
  <si>
    <t>泉爆</t>
  </si>
  <si>
    <t>汲魂</t>
  </si>
  <si>
    <t>魍魉追魂</t>
  </si>
  <si>
    <t>100点魔法</t>
  </si>
  <si>
    <t>【冷却】4回合</t>
  </si>
  <si>
    <t>夜行</t>
  </si>
  <si>
    <t>拘魄</t>
  </si>
  <si>
    <t>瘴幕</t>
  </si>
  <si>
    <t>冥视</t>
  </si>
  <si>
    <t>鬼火</t>
  </si>
  <si>
    <t>扼命</t>
  </si>
  <si>
    <t>勾魂阎罗</t>
  </si>
  <si>
    <t>九龙诀</t>
  </si>
  <si>
    <t>九龙出水鬼神惊，扶摇直上云霄里。</t>
  </si>
  <si>
    <t>九龙出水鬼神惊，扶摇直上云霄里。大幅度增加法术连接几率！</t>
  </si>
  <si>
    <t>龙宫基础技能。</t>
  </si>
  <si>
    <t>永久增加角色的法术伤害、气血</t>
  </si>
  <si>
    <t>龙卷雨击</t>
  </si>
  <si>
    <t>云从龙，风从雨，龙举四海之力，毁天灭地。</t>
  </si>
  <si>
    <t>法术攻击4个目标</t>
  </si>
  <si>
    <t>法术攻击多个目标。</t>
  </si>
  <si>
    <t>增加使用时的伤害，60级可攻击5个目标。</t>
  </si>
  <si>
    <t>增加使用时的伤害，90级可攻击6个目标。</t>
  </si>
  <si>
    <t>增加使用时的伤害，90级可攻击7个目标。</t>
  </si>
  <si>
    <t>龙腾</t>
  </si>
  <si>
    <t>龙腾四海，浩大声势让世人惊叹。</t>
  </si>
  <si>
    <t>法术攻击单个目标。</t>
  </si>
  <si>
    <t>逆鳞</t>
  </si>
  <si>
    <t>龙喉下有逆鳞，触之必怒，怒则天地变色。</t>
  </si>
  <si>
    <t>提升自己的法术连击概率和法连伤害，持续5回合。</t>
  </si>
  <si>
    <t>龙吟</t>
  </si>
  <si>
    <t>神龙长吟，鬼神心惊。龙族绝技，声势骇人。</t>
  </si>
  <si>
    <t>法术攻击敌方全体，消耗目标魔法。</t>
  </si>
  <si>
    <t>增加使用时的伤害和消耗对方魔法。永久增加角色的封印抵抗</t>
  </si>
  <si>
    <t>清心</t>
  </si>
  <si>
    <t>召唤风雨的神奇力量，清除一切无名毒咒。</t>
  </si>
  <si>
    <t>净化友方单位的异常状态.</t>
  </si>
  <si>
    <t>增加气血回复效果。永久增加角色的法术防御</t>
  </si>
  <si>
    <t>龙附</t>
  </si>
  <si>
    <t>龙，四灵之首，有着神奇而骇人的力量。</t>
  </si>
  <si>
    <t xml:space="preserve">制造一张临时符，给武器增加物理伤害。 </t>
  </si>
  <si>
    <t>增加临时符附加物理伤害的效果</t>
  </si>
  <si>
    <t>魔浪滔天</t>
  </si>
  <si>
    <t>龙宫门派绝技，召唤上古魔龙化身，掀起滔天魔浪，气海空虚之人无法抵抗这声势浩大的一击。</t>
  </si>
  <si>
    <t>对敌方全体单位造成法术伤害，目标已损失魔法值越多，伤害越高。最高为龙卷雨击伤害的200％。</t>
  </si>
  <si>
    <t>对敌方7个单位造成极端法术伤害，目标剩余的魔法值越少，伤害越高，最高为龙卷雨击伤害的200%。</t>
  </si>
  <si>
    <t>对敌方7个单位造成极端法术伤害，目标剩余的魔法值越少，伤害越高，最高为龙卷雨击伤害的260%。</t>
  </si>
  <si>
    <t>波涛</t>
  </si>
  <si>
    <t>叱咤</t>
  </si>
  <si>
    <t>逐浪</t>
  </si>
  <si>
    <t>龙慑</t>
  </si>
  <si>
    <t>骇浪</t>
  </si>
  <si>
    <t>汹涌</t>
  </si>
  <si>
    <t>破浪</t>
  </si>
  <si>
    <t>踏涛</t>
  </si>
  <si>
    <t>龙珠</t>
  </si>
  <si>
    <t>傲翔</t>
  </si>
  <si>
    <t>月光</t>
  </si>
  <si>
    <t>龙魄</t>
  </si>
  <si>
    <t>亢龙归海</t>
  </si>
  <si>
    <t>200点魔法</t>
  </si>
  <si>
    <t>6回合，战斗开始时具有3回合冷却</t>
  </si>
  <si>
    <t>狂浪</t>
  </si>
  <si>
    <t>龙哮</t>
  </si>
  <si>
    <t>龙息</t>
  </si>
  <si>
    <t>飞龙</t>
  </si>
  <si>
    <t>戏珠</t>
  </si>
  <si>
    <t>斩浪</t>
  </si>
  <si>
    <t>海中蛟虬</t>
  </si>
  <si>
    <t>金刚经</t>
  </si>
  <si>
    <t>菩萨低眉，金刚怒目，除魔卫道。</t>
  </si>
  <si>
    <t>普陀山基础技能。</t>
  </si>
  <si>
    <t>五行咒</t>
  </si>
  <si>
    <t>金木水火土，循环相生，往复相克。</t>
  </si>
  <si>
    <t>法术攻击3个目标。对首目标造成额外伤害。</t>
  </si>
  <si>
    <t>普度众生</t>
  </si>
  <si>
    <t xml:space="preserve">以慈悲心济世救人，渡重伤者达平乐之岸。 </t>
  </si>
  <si>
    <t>回复2个目标气血，附加5回合持续气血回复。对有普渡众生状态的目标产生额外治疗，目标气血越低治疗量越高。</t>
  </si>
  <si>
    <t>增加气血回复效果</t>
  </si>
  <si>
    <t>杨柳甘露</t>
  </si>
  <si>
    <t>净瓶甘露年年盛，救人杨柳岁岁青。</t>
  </si>
  <si>
    <t>复活死亡目标，鬼魂术除外。复活后附加普渡众生状态</t>
  </si>
  <si>
    <t>增加气血回复。永久增加角色的速度</t>
  </si>
  <si>
    <t>灵动九天</t>
  </si>
  <si>
    <t>参透法华经，灵力便能动彻九天之上。</t>
  </si>
  <si>
    <t>战斗中增加4个友方单位的法术伤害和法术防御，持续5回合。</t>
  </si>
  <si>
    <t>增加使用效果。永久增加角色的封印抵抗</t>
  </si>
  <si>
    <t>自在心法</t>
  </si>
  <si>
    <t>似轻云出岫，似微风拂柳</t>
  </si>
  <si>
    <t>结束己方单位的普渡众生状态，恢复气血等同于两次普渡众生。</t>
  </si>
  <si>
    <t>解除1至4个己方队友的所有异常状态(恐惧和眩晕除外）</t>
  </si>
  <si>
    <t>永久增加角色的法术伤害</t>
  </si>
  <si>
    <t>增加使用效果，永久增加角色治疗强度</t>
  </si>
  <si>
    <t>莲华妙法</t>
  </si>
  <si>
    <t>不如法华，不知佛恩浩瀚。</t>
  </si>
  <si>
    <t>制造一张临时符，给项链增加法术伤害。</t>
  </si>
  <si>
    <t>增加临时符附加术攻击的效果</t>
  </si>
  <si>
    <t>增加临时符附加法术伤害的效果</t>
  </si>
  <si>
    <t>沐日慈悲</t>
  </si>
  <si>
    <t>普陀山门派绝技。观世音以尘世为苦海，一慈悲救众生。曾发宏愿，让莲花开满人间。</t>
  </si>
  <si>
    <t>&lt;T t="普陀山门派绝技。观世音以尘世为苦海，一慈悲救众生。曾发宏愿，让莲花开满人间。”" c="ffd729ea"&gt;&lt;/T&gt;</t>
  </si>
  <si>
    <t>使全体队友在2回合内免疫1次死亡，濒死瞬间回复气血为气血上限的25%。使用后休息1回合。</t>
  </si>
  <si>
    <t>推衍</t>
  </si>
  <si>
    <t>莲花心音</t>
  </si>
  <si>
    <t>60点魔法</t>
  </si>
  <si>
    <t>劳心</t>
  </si>
  <si>
    <t>甘露</t>
  </si>
  <si>
    <t>法华</t>
  </si>
  <si>
    <t>玉帛</t>
  </si>
  <si>
    <t>化戈</t>
  </si>
  <si>
    <t>精心</t>
  </si>
  <si>
    <t>普渡</t>
  </si>
  <si>
    <t>清净</t>
  </si>
  <si>
    <t>灵动</t>
  </si>
  <si>
    <t>雨润</t>
  </si>
  <si>
    <t>波澜不惊</t>
  </si>
  <si>
    <t>普照</t>
  </si>
  <si>
    <t>慈佑</t>
  </si>
  <si>
    <t>度厄</t>
  </si>
  <si>
    <t>莲动</t>
  </si>
  <si>
    <t>感念</t>
  </si>
  <si>
    <t>道衍</t>
  </si>
  <si>
    <t>莲台仙子</t>
  </si>
  <si>
    <t>氏族之力</t>
  </si>
  <si>
    <t>来自上古魔神的神秘力量，通过血脉世代传承。</t>
  </si>
  <si>
    <t>魔王寨基础技能。</t>
  </si>
  <si>
    <t>飞沙走石</t>
  </si>
  <si>
    <t>疾风迅雷，魔神经过之处狂风走石，一般人都要退避三舍，以免受到波及。</t>
  </si>
  <si>
    <t>法术攻击5个目标，伤害结果会产生法术波动。</t>
  </si>
  <si>
    <t>法术攻击4个目标，伤害结果会产生法术波动。</t>
  </si>
  <si>
    <t>增加使用时的伤害，90级攻击5个目标</t>
  </si>
  <si>
    <t>三味真火</t>
  </si>
  <si>
    <t>此火非凡物，乃由一点丹田元气修炼而成，精、气、神练成三昧，养就离精。</t>
  </si>
  <si>
    <t>法术强力打击单个目标，伤害结果会产生法术波动，该技能使用时附带一定的法术暴击</t>
  </si>
  <si>
    <t>增加使用时的伤害，永久增加角色的速度</t>
  </si>
  <si>
    <t>魔王降临</t>
  </si>
  <si>
    <t>四海有名称混世，西方大力号魔王。行动威风气势赫赫，崇武尚勇斗能争强。</t>
  </si>
  <si>
    <t>提升法术暴击和法术伤害，持续4回合。</t>
  </si>
  <si>
    <t>增加使用效果，永久增加角色的封印抵抗</t>
  </si>
  <si>
    <t>增加使用效果，永久增加角色的速度</t>
  </si>
  <si>
    <t>踏山裂石</t>
  </si>
  <si>
    <t>魔王寨秘传法术之一，修炼至极致的丹田元气，威力非普通的三昧真火可比拟。对单个敌方目标造成极高的法术伤害</t>
  </si>
  <si>
    <t>法术强力打击目标，并使敌方降低法术防御。</t>
  </si>
  <si>
    <t>先祖火灵</t>
  </si>
  <si>
    <t>魔神修炼多年领悟的绝技，可以召唤出先祖火灵，可释放治疗技能或输出技能</t>
  </si>
  <si>
    <t>召唤一个先祖火灵，火灵存在时可以起到法术输出或者治疗作用，持续8回合。</t>
  </si>
  <si>
    <t>增加技能使用时的效果，永久增加角色的法术防御</t>
  </si>
  <si>
    <t>增加技能使用时的效果，永久增加角色的物理防御</t>
  </si>
  <si>
    <t>引火乘风</t>
  </si>
  <si>
    <t>风涨火势，魔王弟子懂得如何借助风的力量。</t>
  </si>
  <si>
    <t>制造一张临时符，可给鞋子增加速度</t>
  </si>
  <si>
    <t>增加临时符附加速度的效果</t>
  </si>
  <si>
    <t>飞星流火</t>
  </si>
  <si>
    <t>魔王寨门派绝技，飞星流火，炎天炽地，以魔王之力摇天撼地，三界为之变色。</t>
  </si>
  <si>
    <t>召唤朱雀离火随机攻击敌人，使用后休息一回合。</t>
  </si>
  <si>
    <t>充沛</t>
  </si>
  <si>
    <t>蚀天</t>
  </si>
  <si>
    <t>火神</t>
  </si>
  <si>
    <t>神焰</t>
  </si>
  <si>
    <t>咆哮</t>
  </si>
  <si>
    <t>威吓</t>
  </si>
  <si>
    <t>震怒</t>
  </si>
  <si>
    <t>邪火</t>
  </si>
  <si>
    <t>震天</t>
  </si>
  <si>
    <t>崩摧</t>
  </si>
  <si>
    <t>狂月</t>
  </si>
  <si>
    <t>连营</t>
  </si>
  <si>
    <t>魔焰滔天</t>
  </si>
  <si>
    <t>激怒</t>
  </si>
  <si>
    <t>赤暖</t>
  </si>
  <si>
    <t>真炎</t>
  </si>
  <si>
    <t>焚尽</t>
  </si>
  <si>
    <t>燃魂</t>
  </si>
  <si>
    <t>魔心</t>
  </si>
  <si>
    <t>平天大圣</t>
  </si>
  <si>
    <t>时之月</t>
  </si>
  <si>
    <t>三五明月满，四五蟾兔缺。阴晴圆缺见天时</t>
  </si>
  <si>
    <t>月宫基础技能</t>
  </si>
  <si>
    <t>永久增加角色的物理伤害</t>
  </si>
  <si>
    <t>月影摇光</t>
  </si>
  <si>
    <t>桂树摇影，皎皎有光。在光与影的切换中，攻其不备</t>
  </si>
  <si>
    <t>物理攻击多个目标，概率对目标进行冰冻。</t>
  </si>
  <si>
    <t>增加使用时的伤害，40级可攻击3个目标</t>
  </si>
  <si>
    <t>增加使用时的伤害，70级可攻击4个目标，需在桂花醉状态下。</t>
  </si>
  <si>
    <t>碎玉击</t>
  </si>
  <si>
    <t>万籟入沉冥，坐深观月明。决战清辉下，琅琅碎玉声</t>
  </si>
  <si>
    <t>物理攻击单个目标，如目标被击败，则对血量最低的单位进行月刃攻击。</t>
  </si>
  <si>
    <t>月刃</t>
  </si>
  <si>
    <t>月光清若水，刃芒冷如霜。怀月刃而动，杀机显露</t>
  </si>
  <si>
    <t>对单个目标进行2次物理攻击。降低目标物理伤害，持续3回合。</t>
  </si>
  <si>
    <t>桂花醉</t>
  </si>
  <si>
    <t>夜凉如洗，冷露无声。倚树嗅桂酿，落花额上清寒</t>
  </si>
  <si>
    <t>给自己施加一个持续5回合的状态，使月影摇光增加一个目标。</t>
  </si>
  <si>
    <t>月凝</t>
  </si>
  <si>
    <t>广寒宫千年的寂寞结成了冰魄，冒险接近的人会被凝为冰块</t>
  </si>
  <si>
    <t>冰冻一个敌方目标，使其无法执行任何动作,持续4回合。</t>
  </si>
  <si>
    <t>增加使用时的伤害。永久增加角色的物理防御</t>
  </si>
  <si>
    <t>羽衣曲</t>
  </si>
  <si>
    <t>一首羽衣曲，闻者衣袂飘飘似要临风而去</t>
  </si>
  <si>
    <t>制造一张临时符，可给衣服增加封印命中</t>
  </si>
  <si>
    <t>增加临时符附加封印命中的效果</t>
  </si>
  <si>
    <t>广寒清辉</t>
  </si>
  <si>
    <t>月宫门派绝技。在时之月的清辉中展露凛冽的身姿，如雪亮的刃芒直刺四方，不负广寒清秋</t>
  </si>
  <si>
    <t>物理攻击7个敌方目标，有15%几率月凝目标。使用后休息一回合。</t>
  </si>
  <si>
    <t>趁虚</t>
  </si>
  <si>
    <t>震慑</t>
  </si>
  <si>
    <t>苏醒</t>
  </si>
  <si>
    <t>月桂</t>
  </si>
  <si>
    <t>神律</t>
  </si>
  <si>
    <t>疾雷</t>
  </si>
  <si>
    <t>余韵</t>
  </si>
  <si>
    <t>神念</t>
  </si>
  <si>
    <t>护佑</t>
  </si>
  <si>
    <t>神尊</t>
  </si>
  <si>
    <t>画地为牢</t>
  </si>
  <si>
    <t>50点魔法</t>
  </si>
  <si>
    <t>【冷却】5回合</t>
  </si>
  <si>
    <t>轰鸣</t>
  </si>
  <si>
    <t>缭乱</t>
  </si>
  <si>
    <t>藏招</t>
  </si>
  <si>
    <t>坚壁</t>
  </si>
  <si>
    <t>套索</t>
  </si>
  <si>
    <t>洞察</t>
  </si>
  <si>
    <t>镇妖神使</t>
  </si>
  <si>
    <t>法华经</t>
  </si>
  <si>
    <t>领悟精研佛典，渐渐掌握其中的佛法神通</t>
  </si>
  <si>
    <t>化生寺基础技能</t>
  </si>
  <si>
    <t>唧唧歪歪</t>
  </si>
  <si>
    <t>佛家弟子大量诵读经书，见谁都想度化，不免会有些叨叨唠唠。</t>
  </si>
  <si>
    <t>法术攻击3个目标。当回合降低首目标的物理伤害。</t>
  </si>
  <si>
    <t>推气过宫</t>
  </si>
  <si>
    <t>本着仁慈之心的化生寺弟子，为普众生，渡世人，尽心研习医疗之术。</t>
  </si>
  <si>
    <t>回复己方3个目标的气血，目标气血越低治疗量越高</t>
  </si>
  <si>
    <t>金刚护法</t>
  </si>
  <si>
    <t>信奉佛教的信徒，召唤护法金刚前来卫护</t>
  </si>
  <si>
    <t>增加己方4个目标的物理伤害，物理防御，持续5回合。</t>
  </si>
  <si>
    <t>增加物理防御</t>
  </si>
  <si>
    <t>增加气血回复效果，永久增加角色的速度。</t>
  </si>
  <si>
    <t>我佛慈悲</t>
  </si>
  <si>
    <t>大慈与一切众生乐，大悲拔一切众生苦。慈悲之要，全生为重</t>
  </si>
  <si>
    <t>复活倒地目标，鬼魂术除外。</t>
  </si>
  <si>
    <t>增加防御和物理伤害</t>
  </si>
  <si>
    <t>增加防御和物理伤害，永久增加角色的封印抵抗。</t>
  </si>
  <si>
    <t>一苇渡江</t>
  </si>
  <si>
    <t>身体轻如鸿毛，却有擎天之力，达摩祖师曾用此法渡江而去</t>
  </si>
  <si>
    <t>禅宗祖师常对弟子突然一棒一喝，点醒其心中迷乱</t>
  </si>
  <si>
    <t>提升2个友方目标的速度，持续5回合</t>
  </si>
  <si>
    <t>提升技能效果,永久增加角色的速度</t>
  </si>
  <si>
    <t>提升技能效果,永久增加角色的治疗强度。</t>
  </si>
  <si>
    <t>佛光普照</t>
  </si>
  <si>
    <t>佛光注照，本命元辰，灾星退度福星临，九曜保长生</t>
  </si>
  <si>
    <t>制造一张临时符，可给武器增加治疗强度</t>
  </si>
  <si>
    <t>增加临时符附加治疗强度的效果</t>
  </si>
  <si>
    <t>一元复始</t>
  </si>
  <si>
    <t>化生寺门派绝技。在强大的佛法庇佑下，气入丹田六神相通，恢复到绝佳的状态。</t>
  </si>
  <si>
    <t>回复1个友方目标大量气血并清除异常状态，无论目标是否倒地均可使用。使用后休息一回合。</t>
  </si>
  <si>
    <t>销武</t>
  </si>
  <si>
    <t>妙手</t>
  </si>
  <si>
    <t>佛显</t>
  </si>
  <si>
    <t>天照</t>
  </si>
  <si>
    <t>佛法</t>
  </si>
  <si>
    <t>慈心</t>
  </si>
  <si>
    <t>止戈</t>
  </si>
  <si>
    <t>仁心</t>
  </si>
  <si>
    <t>心韧</t>
  </si>
  <si>
    <t>舍利</t>
  </si>
  <si>
    <t>佛性</t>
  </si>
  <si>
    <t>虔诚</t>
  </si>
  <si>
    <t>渡劫金身</t>
  </si>
  <si>
    <t>10点愤怒</t>
  </si>
  <si>
    <t>【冷却】4回合(该技能为法术技能，受封印法术限制)</t>
  </si>
  <si>
    <t>圣手</t>
  </si>
  <si>
    <t>化瘀</t>
  </si>
  <si>
    <t>归气</t>
  </si>
  <si>
    <t>佛佑</t>
  </si>
  <si>
    <t>妙悟</t>
  </si>
  <si>
    <t>【冷却】2回合</t>
  </si>
  <si>
    <t>佛缘</t>
  </si>
  <si>
    <t>杏林妙手</t>
  </si>
  <si>
    <t>舍生取义</t>
  </si>
  <si>
    <t>新门派大招1</t>
  </si>
  <si>
    <t>&lt;T t="龙宫门派绝技，召唤上古魔龙化身，掀起滔天魔浪，气海空虚之人无法抵抗这声势浩大的一击。”" c="ffd729ea"&gt;&lt;/T&gt;</t>
  </si>
  <si>
    <t/>
  </si>
  <si>
    <t>对敌方全体单位造成法术伤害，目标已损失魔法值越多，伤害越高。最高为龙卷雨击伤害的200％。使用后休息一回合。 双防降低</t>
  </si>
  <si>
    <t>最高为龙卷雨击伤害的220%</t>
  </si>
  <si>
    <t>最高为龙卷雨击伤害的240%</t>
  </si>
  <si>
    <t>最高为龙卷雨击伤害的260%</t>
  </si>
  <si>
    <t>新门派大招2</t>
  </si>
  <si>
    <t>&lt;T t="魔王寨门派绝技，飞星流火，炎天炽地，以魔王之力摇天撼地，三界为之变色。”" c="ffd729ea"&gt;&lt;/T&gt;</t>
  </si>
  <si>
    <t>强力法术伤害敌方2个单位，血量越少伤害越高，最高为正常五雷轰顶伤害的150%。使用后虚弱休息1回合，休息状态下双防降低。</t>
  </si>
  <si>
    <t>最高为五雷轰顶伤害的160%</t>
  </si>
  <si>
    <t>最高为五雷轰顶伤害的170%</t>
  </si>
  <si>
    <t>最高为五雷轰顶伤害的180%</t>
  </si>
  <si>
    <t>新门派大招3</t>
  </si>
  <si>
    <t>&lt;T t="月宫门派绝技。在时之月的清辉中展露凛冽的身姿，如雪亮的刃芒直刺四方，不负广寒清秋”" c="ffd729ea"&gt;&lt;/T&gt;</t>
  </si>
  <si>
    <t>对敌方单位随机发动7连击，除首目标外每下独立随机目标，伤害系数为正常伤害的50%，每消耗一个连击点追加两次连击，最多使用3个连击点，使用后虚弱休息1回合，虚弱休息状态下双防降低</t>
  </si>
  <si>
    <t>每次造成普通攻击55%的伤害</t>
  </si>
  <si>
    <t>每次造成普通攻击60%的伤害</t>
  </si>
  <si>
    <t>每次造成普通攻击65%的伤害</t>
  </si>
  <si>
    <t>新门派大招4</t>
  </si>
  <si>
    <t>新门派大招5</t>
  </si>
  <si>
    <t>新门派大招6</t>
  </si>
  <si>
    <t>红袖添香</t>
  </si>
  <si>
    <r>
      <rPr>
        <sz val="10"/>
        <color rgb="FF000000"/>
        <rFont val="宋体"/>
        <charset val="134"/>
        <scheme val="minor"/>
      </rPr>
      <t xml:space="preserve"> </t>
    </r>
    <r>
      <rPr>
        <sz val="10"/>
        <color rgb="FF000000"/>
        <rFont val="宋体"/>
        <charset val="134"/>
      </rPr>
      <t>灯下对红袖，浮香夜黄昏。纤纤皓素腕，研墨对月明。</t>
    </r>
  </si>
  <si>
    <t>女儿村基础技能。使用女儿村封印技能时会额外造成伤害，伤害结果和武器的法术伤害有关</t>
  </si>
  <si>
    <t>永久增加角色的法术防御。</t>
  </si>
  <si>
    <t>飞花摘叶</t>
  </si>
  <si>
    <t>一叶微风起，谁解落花意。拾花在手，亦可降敌。</t>
  </si>
  <si>
    <t>法术攻击3个目标。玩家施法对首目标小概率附加一笑倾城</t>
  </si>
  <si>
    <r>
      <rPr>
        <sz val="10"/>
        <color rgb="FF000000"/>
        <rFont val="宋体"/>
        <charset val="134"/>
        <scheme val="minor"/>
      </rPr>
      <t xml:space="preserve"> </t>
    </r>
    <r>
      <rPr>
        <sz val="10"/>
        <color rgb="FF000000"/>
        <rFont val="宋体"/>
        <charset val="134"/>
      </rPr>
      <t>0-59级 增加使用时的伤害，60级可攻击4个目标；60-69级 增加使用时的伤害，70级可攻击5个目标；70-89级 增加使用时的伤害，90级可攻击6个目标；90-120级 增加使用时的伤害。</t>
    </r>
  </si>
  <si>
    <t>一笑倾城</t>
  </si>
  <si>
    <r>
      <rPr>
        <sz val="10"/>
        <color rgb="FF000000"/>
        <rFont val="宋体"/>
        <charset val="134"/>
        <scheme val="minor"/>
      </rPr>
      <t xml:space="preserve"> </t>
    </r>
    <r>
      <rPr>
        <sz val="10"/>
        <color rgb="FF000000"/>
        <rFont val="宋体"/>
        <charset val="134"/>
      </rPr>
      <t>北方有佳人，绝世而独立。宁不知倾城与倾国，佳人难再得。</t>
    </r>
  </si>
  <si>
    <t>封印敌方3个目标的法术，首目标命中率较高，次目标较低，持续2回合。</t>
  </si>
  <si>
    <t>永久增加角色的封印命中。</t>
  </si>
  <si>
    <t>观心镜</t>
  </si>
  <si>
    <t>明慧晓百术，静思以观心。水月为镜，可观敌方绝学。</t>
  </si>
  <si>
    <t>消耗：$parameter1$%最大生命值</t>
  </si>
  <si>
    <t>提升命中率，封印敌方目标法术3回合</t>
  </si>
  <si>
    <t>永久增加角色的抵抗封印。</t>
  </si>
  <si>
    <t>唤花灵</t>
  </si>
  <si>
    <t>以吾之名，唤花之灵；守我以彼，共我以生。召唤花灵，共同作战。</t>
  </si>
  <si>
    <t>召唤一朵四色花灵，花灵每回合会给召唤者一片随机增益花瓣并回复少量气血。</t>
  </si>
  <si>
    <t>提升花灵属性。</t>
  </si>
  <si>
    <t>镜花隐</t>
  </si>
  <si>
    <t>水映花月色，身藏疏影中。镜隐花移，唯余暗香，佳人无处寻。</t>
  </si>
  <si>
    <t>2回合内有几率格挡并反弹来自敌方的伤害。</t>
  </si>
  <si>
    <t>永久增加角色的气血。</t>
  </si>
  <si>
    <t>轻如鸿毛</t>
  </si>
  <si>
    <t>盈盈掌中舞，沾露羽衣轻。翩若惊鸿，一顾而已。</t>
  </si>
  <si>
    <t>制造一张临时符，给武器增加封印命中。</t>
  </si>
  <si>
    <t>永久增加角色的速度。</t>
  </si>
  <si>
    <t>镜花水月</t>
  </si>
  <si>
    <t>&lt;T t="女儿村门派绝技。山水花木皆有灵。天地万物之灵，变无穷奥妙，为我所用。" c="ffd729ea"&gt;&lt;/T&gt;</t>
  </si>
  <si>
    <t>使己方全体进入镜花隐状态1回合，使用后休息一回合。</t>
  </si>
  <si>
    <t>提升格挡和反弹的几率。</t>
  </si>
  <si>
    <t>如意金箍棒</t>
  </si>
  <si>
    <t>威宁天地诛妖棒，势镇汪洋定海针。</t>
  </si>
  <si>
    <t>花果山基础技能。</t>
  </si>
  <si>
    <t>永久增加主角的物理攻击</t>
  </si>
  <si>
    <t>泼天乱棍</t>
  </si>
  <si>
    <t>云卷万里浮云涌，尘起千峦战意浓。莫笑乱棍似猴戏，泼天蔽日搅灵霄。</t>
  </si>
  <si>
    <t>物理攻击3个敌方目标</t>
  </si>
  <si>
    <t>当头一棒</t>
  </si>
  <si>
    <t>当头一棒憾天地，一发千钧竞锋芒。</t>
  </si>
  <si>
    <t>临时提高一定物理暴击后对敌方单体发动一次强力攻击。</t>
  </si>
  <si>
    <t>筋斗云</t>
  </si>
  <si>
    <t>霞举飞升腾云霄，朝游北海暮苍梧。</t>
  </si>
  <si>
    <t>提升自身速度，提升值随着技能等级进行提升！</t>
  </si>
  <si>
    <t>增加提升持续的回合数！被动提升自身抗控制！</t>
  </si>
  <si>
    <t>乾坤一掷</t>
  </si>
  <si>
    <t>势如罡风裂流云，气吞五行锁乾坤变。</t>
  </si>
  <si>
    <t>对敌方单体发动一次攻击，并有概率附加1回合定身状态</t>
  </si>
  <si>
    <t>身外化身</t>
  </si>
  <si>
    <t>头似铜铸身如铁，烈火天雷亦等闲</t>
  </si>
  <si>
    <t>形意无形乱迷浊，身外化身穷碧落</t>
  </si>
  <si>
    <t>以当前状态召唤一个分身，跟随出手</t>
  </si>
  <si>
    <t>铜头铁臂</t>
  </si>
  <si>
    <r>
      <rPr>
        <sz val="10"/>
        <color rgb="FF000000"/>
        <rFont val="宋体"/>
        <charset val="134"/>
        <scheme val="minor"/>
      </rPr>
      <t>制造一张临时符，增加法术暴击几率。</t>
    </r>
    <r>
      <rPr>
        <sz val="10"/>
        <color rgb="FF000000"/>
        <rFont val="宋体"/>
        <charset val="134"/>
      </rPr>
      <t xml:space="preserve"> </t>
    </r>
  </si>
  <si>
    <t>增加附魔附加物理伤害的效果</t>
  </si>
  <si>
    <t>大闹天宫</t>
  </si>
  <si>
    <t>神针漫舞闯千宫，乱棍泼天意万重。百战之躯何惧哉，十万天兵溅星河</t>
  </si>
  <si>
    <t>对同一个目标依次释放乾坤一掷、泼天乱棍、当头一棒，伤害结果为原技能的80%，使用后休息一回合。</t>
  </si>
  <si>
    <t>星鲲</t>
  </si>
  <si>
    <t>须弥叠千浪，神鲲跃天光。</t>
  </si>
  <si>
    <t>须弥海基础技能。</t>
  </si>
  <si>
    <t>永久增加主角的法术攻击</t>
  </si>
  <si>
    <t>击水三千</t>
  </si>
  <si>
    <t>怒涛卷海风啸急，会当击水三千里。</t>
  </si>
  <si>
    <t>法术攻击5个目标</t>
  </si>
  <si>
    <t>扶摇直上</t>
  </si>
  <si>
    <t>拥有偷天换地之能，可转换星斗的位置，借此影响敌人属性的转变。</t>
  </si>
  <si>
    <t>法术强力打击单个目标40％几率攻击3个目标</t>
  </si>
  <si>
    <t>飞流吟</t>
  </si>
  <si>
    <t>齐天大圣之名方可遂悟空之意，闹凌霄、撼东海、戏阎王，无一不为逞胜之举。花果山弟子均继承了此等威仪自信。</t>
  </si>
  <si>
    <t>琵琶声疾旋如影，百哬争流千帆竞</t>
  </si>
  <si>
    <t>提升队友速度，法术伤害，并附加隐身状态持续5回合</t>
  </si>
  <si>
    <t>共潮生</t>
  </si>
  <si>
    <t>孙悟空在太上老君的丹炉中用三昧真火足足炼了七七四十九日，锻成金刚之躯。花果山弟子也继承其坚韧躯体，凡刃不能伤。</t>
  </si>
  <si>
    <t>四洲风雷汇，江海共潮生</t>
  </si>
  <si>
    <t>为队友带来守护之翼并提升队友物防，法防，持续5回合</t>
  </si>
  <si>
    <t>刹那须弥</t>
  </si>
  <si>
    <t>羊羊羊</t>
  </si>
  <si>
    <t>须弥芥子，刹那永恒</t>
  </si>
  <si>
    <t>法术攻击多个目标，消耗魔法同时并消耗自身20点愤怒</t>
  </si>
  <si>
    <t>一定几率把对方目标变成鲲鹏，并产生错乱行为，对同伴进行攻击</t>
  </si>
  <si>
    <t>增加降低速度效果，增加变羊命中率，60级可持续4回合。永久增加主角的速度</t>
  </si>
  <si>
    <t>增加降低速度效果，增加变羊命中率。永久增加主角的速度</t>
  </si>
  <si>
    <t>鸣潮</t>
  </si>
  <si>
    <t>力拔山河，肩挑日月，以盖世之力为装备附加物理攻击。</t>
  </si>
  <si>
    <t>海上月影静，腰间脆玉鸣</t>
  </si>
  <si>
    <r>
      <rPr>
        <sz val="10"/>
        <color rgb="FF000000"/>
        <rFont val="宋体"/>
        <charset val="134"/>
        <scheme val="minor"/>
      </rPr>
      <t>制造一张临时符，给武器增加物理攻击。</t>
    </r>
    <r>
      <rPr>
        <sz val="10"/>
        <color rgb="FF000000"/>
        <rFont val="宋体"/>
        <charset val="134"/>
      </rPr>
      <t xml:space="preserve"> </t>
    </r>
  </si>
  <si>
    <t>一梦天地</t>
  </si>
  <si>
    <t>灵霄宝殿惊玉皇，十万天军无可挡。</t>
  </si>
  <si>
    <t>集合自身所有法术为一身，对敌人造成伤害</t>
  </si>
  <si>
    <t>永久增加主角的法术伤害</t>
  </si>
  <si>
    <t>赤炎蒸腾，星月无光。离火蕴含着巨大力量。</t>
  </si>
  <si>
    <t>法术攻击单个目标，并使敌方法术防御下降，持续2回合。</t>
  </si>
  <si>
    <t>增加使用时的伤害，永久增加主角的速度</t>
  </si>
  <si>
    <t>增加使用效果，永久增加主角的封印抵抗</t>
  </si>
  <si>
    <t>先祖印记</t>
  </si>
  <si>
    <t>进行了烈焰、守护的印记召唤仪式后，先祖印记破空而来。</t>
  </si>
  <si>
    <t>为自己增加印记效果：每回合结束回复气血，持续6回合。</t>
  </si>
  <si>
    <t>增加技能使用时的效果，永久增加主角的法术防御</t>
  </si>
  <si>
    <t>增加临时符附加封印命中和封印抵抗的效果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</si>
</sst>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62"/>
      <scheme val="minor"/>
    </font>
    <font>
      <sz val="11"/>
      <color theme="1"/>
      <name val="宋体"/>
      <charset val="134"/>
    </font>
    <font>
      <sz val="11"/>
      <color indexed="8"/>
      <name val="宋体"/>
      <charset val="134"/>
    </font>
    <font>
      <sz val="11"/>
      <name val="宋体"/>
      <charset val="134"/>
    </font>
    <font>
      <sz val="10.5"/>
      <name val="宋体"/>
      <charset val="134"/>
    </font>
    <font>
      <sz val="9.5"/>
      <color rgb="FFF73131"/>
      <name val="宋体"/>
      <charset val="134"/>
    </font>
    <font>
      <sz val="9.5"/>
      <color rgb="FF333333"/>
      <name val="宋体"/>
      <charset val="134"/>
    </font>
    <font>
      <sz val="10.5"/>
      <color indexed="8"/>
      <name val="宋体"/>
      <charset val="134"/>
    </font>
    <font>
      <sz val="10.5"/>
      <color rgb="FF000000"/>
      <name val="宋体"/>
      <charset val="134"/>
    </font>
    <font>
      <sz val="10"/>
      <color rgb="FF000000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0"/>
      <name val="Arial"/>
      <charset val="134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sz val="10"/>
      <color rgb="FF000000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43" fontId="10" fillId="0" borderId="0" applyFont="0" applyFill="0" applyBorder="0" applyAlignment="0" applyProtection="0">
      <alignment vertical="center"/>
    </xf>
    <xf numFmtId="44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2" fontId="1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11" borderId="4" applyNumberFormat="0" applyFon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12" borderId="7" applyNumberFormat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21" fillId="13" borderId="7" applyNumberFormat="0" applyAlignment="0" applyProtection="0">
      <alignment vertical="center"/>
    </xf>
    <xf numFmtId="0" fontId="22" fillId="14" borderId="9" applyNumberFormat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29" fillId="40" borderId="0" applyNumberFormat="0" applyBorder="0" applyAlignment="0" applyProtection="0">
      <alignment vertical="center"/>
    </xf>
    <xf numFmtId="0" fontId="28" fillId="41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42" borderId="0" applyNumberFormat="0" applyBorder="0" applyAlignment="0" applyProtection="0">
      <alignment vertical="center"/>
    </xf>
    <xf numFmtId="0" fontId="2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2" fillId="43" borderId="0" applyNumberFormat="0" applyBorder="0" applyAlignment="0" applyProtection="0">
      <alignment vertical="center"/>
    </xf>
  </cellStyleXfs>
  <cellXfs count="40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1" xfId="16" applyNumberFormat="1" applyFont="1" applyFill="1" applyBorder="1" applyAlignment="1">
      <alignment vertical="center"/>
    </xf>
    <xf numFmtId="0" fontId="1" fillId="2" borderId="1" xfId="16" applyFont="1" applyFill="1" applyBorder="1" applyAlignment="1"/>
    <xf numFmtId="0" fontId="1" fillId="2" borderId="2" xfId="51" applyFont="1" applyFill="1" applyBorder="1" applyAlignment="1">
      <alignment vertical="center"/>
    </xf>
    <xf numFmtId="0" fontId="1" fillId="2" borderId="0" xfId="0" applyFont="1" applyFill="1" applyAlignment="1"/>
    <xf numFmtId="0" fontId="1" fillId="2" borderId="0" xfId="0" applyNumberFormat="1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0" borderId="0" xfId="0" applyFont="1" applyFill="1" applyAlignment="1"/>
    <xf numFmtId="0" fontId="3" fillId="0" borderId="0" xfId="0" applyFont="1" applyFill="1" applyAlignment="1">
      <alignment vertical="center"/>
    </xf>
    <xf numFmtId="0" fontId="3" fillId="5" borderId="0" xfId="0" applyFont="1" applyFill="1" applyAlignment="1"/>
    <xf numFmtId="0" fontId="3" fillId="6" borderId="0" xfId="0" applyFont="1" applyFill="1" applyAlignment="1"/>
    <xf numFmtId="0" fontId="1" fillId="2" borderId="0" xfId="0" applyNumberFormat="1" applyFont="1" applyFill="1" applyAlignment="1"/>
    <xf numFmtId="0" fontId="2" fillId="0" borderId="0" xfId="0" applyFont="1" applyFill="1" applyAlignment="1"/>
    <xf numFmtId="0" fontId="4" fillId="0" borderId="0" xfId="0" applyFont="1" applyFill="1" applyAlignment="1">
      <alignment horizontal="justify" vertical="center"/>
    </xf>
    <xf numFmtId="0" fontId="5" fillId="0" borderId="0" xfId="0" applyFont="1" applyFill="1" applyAlignment="1">
      <alignment horizontal="justify" vertical="center"/>
    </xf>
    <xf numFmtId="0" fontId="6" fillId="0" borderId="0" xfId="0" applyFont="1" applyFill="1" applyAlignment="1">
      <alignment horizontal="justify" vertical="center"/>
    </xf>
    <xf numFmtId="0" fontId="7" fillId="0" borderId="0" xfId="0" applyFont="1" applyFill="1" applyAlignment="1">
      <alignment horizontal="justify" vertical="center"/>
    </xf>
    <xf numFmtId="0" fontId="8" fillId="0" borderId="0" xfId="0" applyFont="1" applyFill="1" applyAlignment="1">
      <alignment horizontal="justify" vertical="center"/>
    </xf>
    <xf numFmtId="0" fontId="1" fillId="3" borderId="1" xfId="16" applyNumberFormat="1" applyFont="1" applyFill="1" applyBorder="1" applyAlignment="1">
      <alignment vertical="center"/>
    </xf>
    <xf numFmtId="0" fontId="1" fillId="3" borderId="1" xfId="16" applyFont="1" applyFill="1" applyBorder="1" applyAlignment="1"/>
    <xf numFmtId="0" fontId="1" fillId="3" borderId="2" xfId="51" applyFont="1" applyFill="1" applyBorder="1" applyAlignment="1">
      <alignment vertical="center"/>
    </xf>
    <xf numFmtId="0" fontId="2" fillId="0" borderId="0" xfId="0" applyNumberFormat="1" applyFont="1" applyFill="1" applyAlignment="1">
      <alignment vertical="center"/>
    </xf>
    <xf numFmtId="0" fontId="1" fillId="3" borderId="0" xfId="0" applyFont="1" applyFill="1" applyAlignment="1"/>
    <xf numFmtId="0" fontId="1" fillId="3" borderId="0" xfId="0" applyNumberFormat="1" applyFont="1" applyFill="1" applyAlignment="1">
      <alignment vertical="center"/>
    </xf>
    <xf numFmtId="0" fontId="1" fillId="3" borderId="2" xfId="51" applyFont="1" applyFill="1" applyBorder="1" applyAlignment="1">
      <alignment vertical="center" wrapText="1"/>
    </xf>
    <xf numFmtId="0" fontId="1" fillId="2" borderId="2" xfId="51" applyFont="1" applyFill="1" applyBorder="1" applyAlignment="1">
      <alignment horizontal="left" vertical="center"/>
    </xf>
    <xf numFmtId="0" fontId="3" fillId="4" borderId="1" xfId="16" applyNumberFormat="1" applyFont="1" applyFill="1" applyBorder="1" applyAlignment="1">
      <alignment vertical="center"/>
    </xf>
    <xf numFmtId="0" fontId="3" fillId="4" borderId="1" xfId="16" applyFont="1" applyFill="1" applyBorder="1" applyAlignment="1"/>
    <xf numFmtId="0" fontId="3" fillId="4" borderId="3" xfId="46" applyNumberFormat="1" applyFont="1" applyFill="1" applyBorder="1" applyAlignment="1">
      <alignment vertical="center"/>
    </xf>
    <xf numFmtId="0" fontId="3" fillId="4" borderId="3" xfId="46" applyFont="1" applyFill="1" applyBorder="1">
      <alignment vertical="center"/>
    </xf>
    <xf numFmtId="0" fontId="3" fillId="4" borderId="1" xfId="16" applyFont="1" applyFill="1" applyBorder="1">
      <alignment vertical="center"/>
    </xf>
    <xf numFmtId="0" fontId="9" fillId="7" borderId="0" xfId="0" applyFont="1" applyFill="1" applyAlignment="1">
      <alignment vertical="center"/>
    </xf>
    <xf numFmtId="0" fontId="9" fillId="8" borderId="0" xfId="0" applyFont="1" applyFill="1" applyAlignment="1">
      <alignment vertical="center"/>
    </xf>
    <xf numFmtId="0" fontId="9" fillId="9" borderId="0" xfId="0" applyFont="1" applyFill="1" applyAlignment="1">
      <alignment vertical="center"/>
    </xf>
    <xf numFmtId="0" fontId="3" fillId="4" borderId="0" xfId="0" applyFont="1" applyFill="1" applyAlignment="1"/>
    <xf numFmtId="0" fontId="3" fillId="10" borderId="0" xfId="0" applyFont="1" applyFill="1" applyAlignment="1"/>
    <xf numFmtId="0" fontId="3" fillId="10" borderId="0" xfId="0" applyFont="1" applyFill="1" applyAlignment="1">
      <alignment vertical="center"/>
    </xf>
  </cellXfs>
  <cellStyles count="55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好 6" xfId="50"/>
    <cellStyle name="常规 10" xfId="51"/>
    <cellStyle name="常规 3" xfId="52"/>
    <cellStyle name="常规 2" xfId="53"/>
    <cellStyle name="差 2 5 5" xfId="54"/>
  </cellStyle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Z301"/>
  <sheetViews>
    <sheetView tabSelected="1" workbookViewId="0">
      <pane xSplit="2" ySplit="1" topLeftCell="C270" activePane="bottomRight" state="frozen"/>
      <selection/>
      <selection pane="topRight"/>
      <selection pane="bottomLeft"/>
      <selection pane="bottomRight" activeCell="AK279" sqref="AK279"/>
    </sheetView>
  </sheetViews>
  <sheetFormatPr defaultColWidth="9" defaultRowHeight="13.5"/>
  <cols>
    <col min="1" max="1" width="9" style="10"/>
    <col min="2" max="3" width="14.575" style="10" customWidth="1"/>
    <col min="4" max="4" width="84.025" style="11" customWidth="1"/>
    <col min="5" max="15" width="14.575" style="11" customWidth="1"/>
    <col min="16" max="16" width="14.1083333333333" style="11" customWidth="1"/>
    <col min="17" max="17" width="66.4666666666667" style="11" customWidth="1"/>
    <col min="18" max="18" width="86.4083333333333" style="11" customWidth="1"/>
    <col min="19" max="19" width="22.9416666666667" style="10" customWidth="1"/>
    <col min="20" max="20" width="30.2833333333333" style="11" customWidth="1"/>
    <col min="21" max="21" width="86.025" style="11" customWidth="1"/>
    <col min="22" max="22" width="42.35" style="11" customWidth="1"/>
    <col min="23" max="23" width="20" style="11" customWidth="1"/>
    <col min="24" max="24" width="22.5" style="11" customWidth="1"/>
    <col min="25" max="25" width="67.6333333333333" style="11" customWidth="1"/>
    <col min="26" max="26" width="23.05" style="12" customWidth="1"/>
    <col min="27" max="27" width="44.25" style="10" customWidth="1"/>
    <col min="28" max="28" width="43.4" style="10" customWidth="1"/>
    <col min="29" max="29" width="39.6333333333333" style="10" customWidth="1"/>
    <col min="30" max="34" width="28.5" style="10" customWidth="1"/>
    <col min="35" max="42" width="9" style="10"/>
    <col min="43" max="16384" width="9" style="11"/>
  </cols>
  <sheetData>
    <row r="1" ht="163.5" customHeight="1" spans="1:41">
      <c r="A1" s="10" t="s">
        <v>0</v>
      </c>
      <c r="B1" s="10" t="s">
        <v>1</v>
      </c>
      <c r="C1" s="13" t="s">
        <v>2</v>
      </c>
      <c r="D1" s="10" t="s">
        <v>3</v>
      </c>
      <c r="E1" s="10" t="s">
        <v>4</v>
      </c>
      <c r="F1" s="13" t="s">
        <v>5</v>
      </c>
      <c r="G1" s="10" t="s">
        <v>6</v>
      </c>
      <c r="H1" s="10" t="s">
        <v>7</v>
      </c>
      <c r="I1" s="10" t="s">
        <v>8</v>
      </c>
      <c r="J1" s="13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3" t="s">
        <v>16</v>
      </c>
      <c r="R1" s="10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2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  <c r="AF1" s="13" t="s">
        <v>31</v>
      </c>
      <c r="AG1" s="13" t="s">
        <v>32</v>
      </c>
      <c r="AH1" s="13" t="s">
        <v>33</v>
      </c>
      <c r="AI1" s="10" t="s">
        <v>34</v>
      </c>
      <c r="AJ1" s="10" t="s">
        <v>35</v>
      </c>
      <c r="AK1" s="10" t="s">
        <v>36</v>
      </c>
      <c r="AL1" s="10" t="s">
        <v>37</v>
      </c>
      <c r="AM1" s="10" t="s">
        <v>38</v>
      </c>
      <c r="AN1" s="10" t="s">
        <v>39</v>
      </c>
      <c r="AO1" s="10" t="s">
        <v>40</v>
      </c>
    </row>
    <row r="2" s="1" customFormat="1" spans="1:42">
      <c r="A2" s="2">
        <v>110000</v>
      </c>
      <c r="B2" s="3" t="s">
        <v>41</v>
      </c>
      <c r="C2" s="3" t="s">
        <v>41</v>
      </c>
      <c r="D2" s="4" t="s">
        <v>42</v>
      </c>
      <c r="E2" s="1">
        <v>17</v>
      </c>
      <c r="F2" s="1">
        <v>-1</v>
      </c>
      <c r="G2" s="1">
        <v>0</v>
      </c>
      <c r="H2" s="1">
        <v>0</v>
      </c>
      <c r="I2" s="5" t="s">
        <v>43</v>
      </c>
      <c r="J2" s="1">
        <v>-1</v>
      </c>
      <c r="K2" s="1">
        <v>0</v>
      </c>
      <c r="L2" s="1">
        <v>0</v>
      </c>
      <c r="N2" s="6">
        <v>1</v>
      </c>
      <c r="O2" s="1">
        <v>1</v>
      </c>
      <c r="Q2" s="4" t="s">
        <v>44</v>
      </c>
      <c r="R2" s="4" t="s">
        <v>45</v>
      </c>
      <c r="S2" s="5">
        <v>1</v>
      </c>
      <c r="T2" s="4" t="s">
        <v>45</v>
      </c>
      <c r="U2" s="4" t="s">
        <v>45</v>
      </c>
      <c r="V2" s="4" t="s">
        <v>45</v>
      </c>
      <c r="W2" s="4" t="s">
        <v>45</v>
      </c>
      <c r="X2" s="4" t="s">
        <v>45</v>
      </c>
      <c r="Y2" s="4" t="s">
        <v>45</v>
      </c>
      <c r="Z2" s="4" t="s">
        <v>45</v>
      </c>
      <c r="AA2" s="4" t="s">
        <v>46</v>
      </c>
      <c r="AB2" s="4" t="s">
        <v>46</v>
      </c>
      <c r="AC2" s="4" t="s">
        <v>46</v>
      </c>
      <c r="AD2" s="4" t="s">
        <v>46</v>
      </c>
      <c r="AE2" s="4" t="s">
        <v>46</v>
      </c>
      <c r="AF2" s="4" t="s">
        <v>46</v>
      </c>
      <c r="AG2" s="4" t="s">
        <v>46</v>
      </c>
      <c r="AH2" s="4" t="s">
        <v>46</v>
      </c>
      <c r="AI2" s="1">
        <v>1</v>
      </c>
      <c r="AJ2" s="1">
        <v>200</v>
      </c>
      <c r="AK2" s="1">
        <v>200</v>
      </c>
      <c r="AL2" s="1">
        <v>200</v>
      </c>
      <c r="AM2" s="1">
        <v>200</v>
      </c>
      <c r="AN2" s="1">
        <v>200</v>
      </c>
      <c r="AO2" s="1">
        <v>200</v>
      </c>
      <c r="AP2" s="5"/>
    </row>
    <row r="3" s="1" customFormat="1" spans="1:42">
      <c r="A3" s="2">
        <v>110001</v>
      </c>
      <c r="B3" s="3" t="s">
        <v>47</v>
      </c>
      <c r="C3" s="3" t="s">
        <v>47</v>
      </c>
      <c r="D3" s="4" t="s">
        <v>48</v>
      </c>
      <c r="E3" s="1">
        <v>18</v>
      </c>
      <c r="F3" s="14">
        <v>100</v>
      </c>
      <c r="G3" s="1">
        <v>1.2</v>
      </c>
      <c r="H3" s="1">
        <v>10</v>
      </c>
      <c r="I3" s="1" t="s">
        <v>49</v>
      </c>
      <c r="J3" s="1">
        <v>-1</v>
      </c>
      <c r="K3" s="1">
        <v>0</v>
      </c>
      <c r="L3" s="1">
        <v>0</v>
      </c>
      <c r="N3" s="1">
        <v>480</v>
      </c>
      <c r="O3" s="1">
        <v>1</v>
      </c>
      <c r="Q3" s="4" t="s">
        <v>48</v>
      </c>
      <c r="R3" s="4" t="s">
        <v>50</v>
      </c>
      <c r="S3" s="5">
        <v>2</v>
      </c>
      <c r="T3" s="4" t="s">
        <v>50</v>
      </c>
      <c r="U3" s="4" t="s">
        <v>50</v>
      </c>
      <c r="V3" s="4" t="s">
        <v>50</v>
      </c>
      <c r="W3" s="4" t="s">
        <v>50</v>
      </c>
      <c r="X3" s="4" t="s">
        <v>50</v>
      </c>
      <c r="Y3" s="4" t="s">
        <v>50</v>
      </c>
      <c r="Z3" s="4" t="s">
        <v>50</v>
      </c>
      <c r="AA3" s="4" t="s">
        <v>51</v>
      </c>
      <c r="AB3" s="4" t="s">
        <v>51</v>
      </c>
      <c r="AC3" s="4" t="s">
        <v>52</v>
      </c>
      <c r="AD3" s="4" t="s">
        <v>52</v>
      </c>
      <c r="AE3" s="4" t="s">
        <v>52</v>
      </c>
      <c r="AF3" s="4" t="s">
        <v>52</v>
      </c>
      <c r="AG3" s="4" t="s">
        <v>52</v>
      </c>
      <c r="AH3" s="4" t="s">
        <v>52</v>
      </c>
      <c r="AI3" s="1">
        <v>1</v>
      </c>
      <c r="AJ3" s="1">
        <v>40</v>
      </c>
      <c r="AK3" s="1">
        <v>70</v>
      </c>
      <c r="AL3" s="1">
        <v>200</v>
      </c>
      <c r="AM3" s="1">
        <v>200</v>
      </c>
      <c r="AN3" s="1">
        <v>200</v>
      </c>
      <c r="AO3" s="1">
        <v>200</v>
      </c>
      <c r="AP3" s="5"/>
    </row>
    <row r="4" s="1" customFormat="1" spans="1:42">
      <c r="A4" s="2">
        <v>110002</v>
      </c>
      <c r="B4" s="3" t="s">
        <v>53</v>
      </c>
      <c r="C4" s="3" t="s">
        <v>53</v>
      </c>
      <c r="D4" s="4" t="s">
        <v>54</v>
      </c>
      <c r="E4" s="1">
        <v>19</v>
      </c>
      <c r="F4" s="14">
        <v>100</v>
      </c>
      <c r="G4" s="1">
        <v>1.2</v>
      </c>
      <c r="H4" s="1">
        <v>10</v>
      </c>
      <c r="I4" s="1" t="s">
        <v>49</v>
      </c>
      <c r="J4" s="1">
        <v>-1</v>
      </c>
      <c r="K4" s="1">
        <v>0</v>
      </c>
      <c r="L4" s="1">
        <v>0</v>
      </c>
      <c r="N4" s="1">
        <v>480</v>
      </c>
      <c r="O4" s="1">
        <v>1</v>
      </c>
      <c r="Q4" s="4" t="s">
        <v>54</v>
      </c>
      <c r="R4" s="4" t="s">
        <v>55</v>
      </c>
      <c r="S4" s="5">
        <v>3</v>
      </c>
      <c r="T4" s="4" t="s">
        <v>55</v>
      </c>
      <c r="U4" s="4" t="s">
        <v>55</v>
      </c>
      <c r="V4" s="4" t="s">
        <v>55</v>
      </c>
      <c r="W4" s="4" t="s">
        <v>55</v>
      </c>
      <c r="X4" s="4" t="s">
        <v>55</v>
      </c>
      <c r="Y4" s="4" t="s">
        <v>55</v>
      </c>
      <c r="Z4" s="4" t="s">
        <v>55</v>
      </c>
      <c r="AA4" s="4" t="s">
        <v>55</v>
      </c>
      <c r="AB4" s="4" t="s">
        <v>55</v>
      </c>
      <c r="AC4" s="4" t="s">
        <v>55</v>
      </c>
      <c r="AD4" s="4" t="s">
        <v>55</v>
      </c>
      <c r="AE4" s="4" t="s">
        <v>55</v>
      </c>
      <c r="AF4" s="4" t="s">
        <v>55</v>
      </c>
      <c r="AG4" s="4" t="s">
        <v>55</v>
      </c>
      <c r="AH4" s="4" t="s">
        <v>55</v>
      </c>
      <c r="AI4" s="1">
        <v>1</v>
      </c>
      <c r="AJ4" s="1">
        <v>60</v>
      </c>
      <c r="AK4" s="1">
        <v>200</v>
      </c>
      <c r="AL4" s="1">
        <v>200</v>
      </c>
      <c r="AM4" s="1">
        <v>200</v>
      </c>
      <c r="AN4" s="1">
        <v>200</v>
      </c>
      <c r="AO4" s="1">
        <v>200</v>
      </c>
      <c r="AP4" s="5"/>
    </row>
    <row r="5" s="1" customFormat="1" spans="1:42">
      <c r="A5" s="2">
        <v>110003</v>
      </c>
      <c r="B5" s="3" t="s">
        <v>56</v>
      </c>
      <c r="C5" s="3" t="s">
        <v>56</v>
      </c>
      <c r="D5" s="4" t="s">
        <v>57</v>
      </c>
      <c r="E5" s="1">
        <v>20</v>
      </c>
      <c r="F5" s="14">
        <v>100</v>
      </c>
      <c r="G5" s="14">
        <v>0</v>
      </c>
      <c r="H5" s="14">
        <v>10</v>
      </c>
      <c r="I5" s="5" t="s">
        <v>58</v>
      </c>
      <c r="J5" s="1">
        <v>-1</v>
      </c>
      <c r="K5" s="1">
        <v>0</v>
      </c>
      <c r="L5" s="1">
        <v>0</v>
      </c>
      <c r="N5" s="1">
        <v>480</v>
      </c>
      <c r="O5" s="1">
        <v>1</v>
      </c>
      <c r="Q5" s="4" t="s">
        <v>57</v>
      </c>
      <c r="R5" s="4" t="s">
        <v>59</v>
      </c>
      <c r="S5" s="5">
        <v>4</v>
      </c>
      <c r="T5" s="4" t="s">
        <v>59</v>
      </c>
      <c r="U5" s="4" t="s">
        <v>59</v>
      </c>
      <c r="V5" s="4" t="s">
        <v>59</v>
      </c>
      <c r="W5" s="4" t="s">
        <v>59</v>
      </c>
      <c r="X5" s="4" t="s">
        <v>59</v>
      </c>
      <c r="Y5" s="4" t="s">
        <v>59</v>
      </c>
      <c r="Z5" s="4" t="s">
        <v>59</v>
      </c>
      <c r="AA5" s="4" t="s">
        <v>60</v>
      </c>
      <c r="AB5" s="4" t="s">
        <v>60</v>
      </c>
      <c r="AC5" s="4" t="s">
        <v>60</v>
      </c>
      <c r="AD5" s="4" t="s">
        <v>60</v>
      </c>
      <c r="AE5" s="4" t="s">
        <v>60</v>
      </c>
      <c r="AF5" s="4" t="s">
        <v>60</v>
      </c>
      <c r="AG5" s="4" t="s">
        <v>60</v>
      </c>
      <c r="AH5" s="4" t="s">
        <v>60</v>
      </c>
      <c r="AI5" s="1">
        <v>1</v>
      </c>
      <c r="AJ5" s="1">
        <v>200</v>
      </c>
      <c r="AK5" s="1">
        <v>200</v>
      </c>
      <c r="AL5" s="1">
        <v>200</v>
      </c>
      <c r="AM5" s="1">
        <v>200</v>
      </c>
      <c r="AN5" s="1">
        <v>200</v>
      </c>
      <c r="AO5" s="1">
        <v>200</v>
      </c>
      <c r="AP5" s="5"/>
    </row>
    <row r="6" s="1" customFormat="1" spans="1:42">
      <c r="A6" s="2">
        <v>110004</v>
      </c>
      <c r="B6" s="3" t="s">
        <v>61</v>
      </c>
      <c r="C6" s="3" t="s">
        <v>61</v>
      </c>
      <c r="D6" s="4" t="s">
        <v>62</v>
      </c>
      <c r="E6" s="1">
        <v>21</v>
      </c>
      <c r="F6" s="14">
        <v>100</v>
      </c>
      <c r="G6" s="1">
        <v>1.2</v>
      </c>
      <c r="H6" s="1">
        <v>10</v>
      </c>
      <c r="I6" s="1" t="s">
        <v>49</v>
      </c>
      <c r="J6" s="1">
        <v>-1</v>
      </c>
      <c r="K6" s="1">
        <v>0</v>
      </c>
      <c r="L6" s="1">
        <v>0</v>
      </c>
      <c r="N6" s="1">
        <v>480</v>
      </c>
      <c r="O6" s="1">
        <v>1</v>
      </c>
      <c r="Q6" s="4" t="s">
        <v>62</v>
      </c>
      <c r="R6" s="4" t="s">
        <v>63</v>
      </c>
      <c r="S6" s="5">
        <v>5</v>
      </c>
      <c r="T6" s="4" t="s">
        <v>63</v>
      </c>
      <c r="U6" s="4" t="s">
        <v>63</v>
      </c>
      <c r="V6" s="4" t="s">
        <v>63</v>
      </c>
      <c r="W6" s="4" t="s">
        <v>63</v>
      </c>
      <c r="X6" s="4" t="s">
        <v>63</v>
      </c>
      <c r="Y6" s="4" t="s">
        <v>63</v>
      </c>
      <c r="Z6" s="4" t="s">
        <v>63</v>
      </c>
      <c r="AA6" s="4" t="s">
        <v>64</v>
      </c>
      <c r="AB6" s="4" t="s">
        <v>64</v>
      </c>
      <c r="AC6" s="4" t="s">
        <v>64</v>
      </c>
      <c r="AD6" s="4" t="s">
        <v>64</v>
      </c>
      <c r="AE6" s="4" t="s">
        <v>64</v>
      </c>
      <c r="AF6" s="4" t="s">
        <v>64</v>
      </c>
      <c r="AG6" s="4" t="s">
        <v>64</v>
      </c>
      <c r="AH6" s="4" t="s">
        <v>64</v>
      </c>
      <c r="AI6" s="1">
        <v>1</v>
      </c>
      <c r="AJ6" s="1">
        <v>200</v>
      </c>
      <c r="AK6" s="1">
        <v>200</v>
      </c>
      <c r="AL6" s="1">
        <v>200</v>
      </c>
      <c r="AM6" s="1">
        <v>200</v>
      </c>
      <c r="AN6" s="1">
        <v>200</v>
      </c>
      <c r="AO6" s="1">
        <v>200</v>
      </c>
      <c r="AP6" s="5"/>
    </row>
    <row r="7" s="1" customFormat="1" spans="1:42">
      <c r="A7" s="2">
        <v>110005</v>
      </c>
      <c r="B7" s="3" t="s">
        <v>65</v>
      </c>
      <c r="C7" s="3" t="s">
        <v>65</v>
      </c>
      <c r="D7" s="4" t="s">
        <v>66</v>
      </c>
      <c r="E7" s="1">
        <v>22</v>
      </c>
      <c r="F7" s="14">
        <v>100</v>
      </c>
      <c r="G7" s="1">
        <v>1.2</v>
      </c>
      <c r="H7" s="1">
        <v>10</v>
      </c>
      <c r="I7" s="1" t="s">
        <v>49</v>
      </c>
      <c r="J7" s="1">
        <v>-1</v>
      </c>
      <c r="K7" s="1">
        <v>0</v>
      </c>
      <c r="L7" s="1">
        <v>0</v>
      </c>
      <c r="N7" s="1">
        <v>1</v>
      </c>
      <c r="O7" s="1">
        <v>1</v>
      </c>
      <c r="Q7" s="4" t="s">
        <v>66</v>
      </c>
      <c r="R7" s="4" t="s">
        <v>67</v>
      </c>
      <c r="S7" s="5">
        <v>6</v>
      </c>
      <c r="T7" s="4" t="s">
        <v>67</v>
      </c>
      <c r="U7" s="4" t="s">
        <v>67</v>
      </c>
      <c r="V7" s="4" t="s">
        <v>67</v>
      </c>
      <c r="W7" s="4" t="s">
        <v>67</v>
      </c>
      <c r="X7" s="4" t="s">
        <v>67</v>
      </c>
      <c r="Y7" s="4" t="s">
        <v>67</v>
      </c>
      <c r="Z7" s="4" t="s">
        <v>67</v>
      </c>
      <c r="AA7" s="4" t="s">
        <v>68</v>
      </c>
      <c r="AB7" s="4" t="s">
        <v>68</v>
      </c>
      <c r="AC7" s="4" t="s">
        <v>68</v>
      </c>
      <c r="AD7" s="4" t="s">
        <v>68</v>
      </c>
      <c r="AE7" s="4" t="s">
        <v>68</v>
      </c>
      <c r="AF7" s="4" t="s">
        <v>68</v>
      </c>
      <c r="AG7" s="4" t="s">
        <v>68</v>
      </c>
      <c r="AH7" s="4" t="s">
        <v>68</v>
      </c>
      <c r="AI7" s="1">
        <v>1</v>
      </c>
      <c r="AJ7" s="1">
        <v>60</v>
      </c>
      <c r="AK7" s="1">
        <v>200</v>
      </c>
      <c r="AL7" s="1">
        <v>200</v>
      </c>
      <c r="AM7" s="1">
        <v>200</v>
      </c>
      <c r="AN7" s="1">
        <v>200</v>
      </c>
      <c r="AO7" s="1">
        <v>200</v>
      </c>
      <c r="AP7" s="5"/>
    </row>
    <row r="8" s="1" customFormat="1" spans="1:42">
      <c r="A8" s="2">
        <v>110006</v>
      </c>
      <c r="B8" s="3" t="s">
        <v>69</v>
      </c>
      <c r="C8" s="3" t="s">
        <v>69</v>
      </c>
      <c r="D8" s="4" t="s">
        <v>70</v>
      </c>
      <c r="E8" s="1">
        <v>23</v>
      </c>
      <c r="F8" s="14">
        <v>-1</v>
      </c>
      <c r="G8" s="1">
        <v>0.667</v>
      </c>
      <c r="H8" s="1">
        <v>6</v>
      </c>
      <c r="I8" s="1" t="s">
        <v>71</v>
      </c>
      <c r="J8" s="1">
        <v>-1</v>
      </c>
      <c r="K8" s="1">
        <v>0</v>
      </c>
      <c r="L8" s="1">
        <v>0</v>
      </c>
      <c r="N8" s="6">
        <v>1</v>
      </c>
      <c r="O8" s="1">
        <v>1</v>
      </c>
      <c r="Q8" s="4" t="s">
        <v>70</v>
      </c>
      <c r="R8" s="4" t="s">
        <v>72</v>
      </c>
      <c r="S8" s="5">
        <v>7</v>
      </c>
      <c r="T8" s="4" t="s">
        <v>72</v>
      </c>
      <c r="U8" s="4" t="s">
        <v>72</v>
      </c>
      <c r="V8" s="4" t="s">
        <v>72</v>
      </c>
      <c r="W8" s="4" t="s">
        <v>72</v>
      </c>
      <c r="X8" s="4" t="s">
        <v>72</v>
      </c>
      <c r="Y8" s="4" t="s">
        <v>72</v>
      </c>
      <c r="Z8" s="4" t="s">
        <v>72</v>
      </c>
      <c r="AA8" s="4" t="s">
        <v>73</v>
      </c>
      <c r="AB8" s="4" t="s">
        <v>73</v>
      </c>
      <c r="AC8" s="4" t="s">
        <v>73</v>
      </c>
      <c r="AD8" s="4" t="s">
        <v>73</v>
      </c>
      <c r="AE8" s="4" t="s">
        <v>73</v>
      </c>
      <c r="AF8" s="4" t="s">
        <v>73</v>
      </c>
      <c r="AG8" s="4" t="s">
        <v>73</v>
      </c>
      <c r="AH8" s="4" t="s">
        <v>73</v>
      </c>
      <c r="AI8" s="1">
        <v>1</v>
      </c>
      <c r="AJ8" s="1">
        <v>200</v>
      </c>
      <c r="AK8" s="1">
        <v>200</v>
      </c>
      <c r="AL8" s="1">
        <v>200</v>
      </c>
      <c r="AM8" s="1">
        <v>200</v>
      </c>
      <c r="AN8" s="1">
        <v>200</v>
      </c>
      <c r="AO8" s="1">
        <v>200</v>
      </c>
      <c r="AP8" s="5"/>
    </row>
    <row r="9" s="1" customFormat="1" spans="1:42">
      <c r="A9" s="2">
        <v>110007</v>
      </c>
      <c r="B9" s="3" t="s">
        <v>74</v>
      </c>
      <c r="C9" s="3" t="s">
        <v>74</v>
      </c>
      <c r="D9" s="4" t="s">
        <v>75</v>
      </c>
      <c r="E9" s="1">
        <v>24</v>
      </c>
      <c r="F9" s="14">
        <v>120</v>
      </c>
      <c r="G9" s="1">
        <v>0</v>
      </c>
      <c r="H9" s="1">
        <v>120</v>
      </c>
      <c r="I9" s="1" t="s">
        <v>76</v>
      </c>
      <c r="J9" s="1">
        <v>-1</v>
      </c>
      <c r="K9" s="1">
        <v>0</v>
      </c>
      <c r="L9" s="1">
        <v>0</v>
      </c>
      <c r="N9" s="1">
        <v>480</v>
      </c>
      <c r="O9" s="1">
        <v>1</v>
      </c>
      <c r="Q9" s="4" t="s">
        <v>75</v>
      </c>
      <c r="R9" s="4" t="s">
        <v>77</v>
      </c>
      <c r="S9" s="5">
        <v>8</v>
      </c>
      <c r="T9" s="4" t="s">
        <v>77</v>
      </c>
      <c r="U9" s="4" t="s">
        <v>77</v>
      </c>
      <c r="V9" s="4" t="s">
        <v>77</v>
      </c>
      <c r="W9" s="4" t="s">
        <v>77</v>
      </c>
      <c r="X9" s="4" t="s">
        <v>77</v>
      </c>
      <c r="Y9" s="4" t="s">
        <v>77</v>
      </c>
      <c r="Z9" s="4" t="s">
        <v>77</v>
      </c>
      <c r="AA9" s="28" t="s">
        <v>78</v>
      </c>
      <c r="AB9" s="28" t="s">
        <v>78</v>
      </c>
      <c r="AC9" s="28" t="s">
        <v>78</v>
      </c>
      <c r="AD9" s="28" t="s">
        <v>78</v>
      </c>
      <c r="AE9" s="28" t="s">
        <v>78</v>
      </c>
      <c r="AF9" s="28" t="s">
        <v>78</v>
      </c>
      <c r="AG9" s="28" t="s">
        <v>78</v>
      </c>
      <c r="AH9" s="28" t="s">
        <v>78</v>
      </c>
      <c r="AI9" s="1">
        <v>1</v>
      </c>
      <c r="AJ9" s="1">
        <v>2</v>
      </c>
      <c r="AK9" s="1">
        <v>3</v>
      </c>
      <c r="AL9" s="1">
        <v>4</v>
      </c>
      <c r="AM9" s="1">
        <v>5</v>
      </c>
      <c r="AN9" s="1">
        <v>6</v>
      </c>
      <c r="AO9" s="1">
        <v>7</v>
      </c>
      <c r="AP9" s="5"/>
    </row>
    <row r="10" s="7" customFormat="1" hidden="1" spans="1:42">
      <c r="A10" s="15">
        <v>110012</v>
      </c>
      <c r="B10" s="15" t="s">
        <v>79</v>
      </c>
      <c r="C10" s="15" t="s">
        <v>79</v>
      </c>
      <c r="D10" s="16" t="s">
        <v>80</v>
      </c>
      <c r="E10" s="1">
        <v>25</v>
      </c>
      <c r="F10" s="7">
        <v>-1</v>
      </c>
      <c r="G10" s="7">
        <v>0</v>
      </c>
      <c r="H10" s="7">
        <v>0</v>
      </c>
      <c r="I10" s="15" t="s">
        <v>43</v>
      </c>
      <c r="J10" s="7">
        <v>-1</v>
      </c>
      <c r="K10" s="7">
        <v>0</v>
      </c>
      <c r="L10" s="7">
        <v>0</v>
      </c>
      <c r="N10" s="24">
        <v>1</v>
      </c>
      <c r="O10" s="7">
        <v>1</v>
      </c>
      <c r="Q10" s="15" t="s">
        <v>79</v>
      </c>
      <c r="R10" s="15" t="s">
        <v>79</v>
      </c>
      <c r="S10" s="15">
        <v>9</v>
      </c>
      <c r="T10" s="7" t="str">
        <f t="shared" ref="T10:T30" si="0">B10</f>
        <v>目空</v>
      </c>
      <c r="U10" s="7" t="str">
        <f t="shared" ref="U10:Z10" si="1">T10</f>
        <v>目空</v>
      </c>
      <c r="V10" s="7" t="str">
        <f t="shared" si="1"/>
        <v>目空</v>
      </c>
      <c r="W10" s="7" t="str">
        <f t="shared" si="1"/>
        <v>目空</v>
      </c>
      <c r="X10" s="7" t="str">
        <f t="shared" si="1"/>
        <v>目空</v>
      </c>
      <c r="Y10" s="7" t="str">
        <f t="shared" si="1"/>
        <v>目空</v>
      </c>
      <c r="Z10" s="7" t="str">
        <f t="shared" si="1"/>
        <v>目空</v>
      </c>
      <c r="AA10" s="15" t="s">
        <v>81</v>
      </c>
      <c r="AB10" s="7" t="str">
        <f t="shared" ref="AB10:AH10" si="2">AA10</f>
        <v>无</v>
      </c>
      <c r="AC10" s="7" t="str">
        <f t="shared" si="2"/>
        <v>无</v>
      </c>
      <c r="AD10" s="7" t="str">
        <f t="shared" si="2"/>
        <v>无</v>
      </c>
      <c r="AE10" s="7" t="str">
        <f t="shared" si="2"/>
        <v>无</v>
      </c>
      <c r="AF10" s="7" t="str">
        <f t="shared" si="2"/>
        <v>无</v>
      </c>
      <c r="AG10" s="7" t="str">
        <f t="shared" si="2"/>
        <v>无</v>
      </c>
      <c r="AH10" s="7" t="str">
        <f t="shared" si="2"/>
        <v>无</v>
      </c>
      <c r="AI10" s="15">
        <v>1</v>
      </c>
      <c r="AJ10" s="15">
        <v>2</v>
      </c>
      <c r="AK10" s="15">
        <v>3</v>
      </c>
      <c r="AL10" s="15">
        <v>4</v>
      </c>
      <c r="AM10" s="15">
        <v>5</v>
      </c>
      <c r="AN10" s="15">
        <v>6</v>
      </c>
      <c r="AO10" s="15">
        <v>7</v>
      </c>
      <c r="AP10" s="15"/>
    </row>
    <row r="11" s="7" customFormat="1" hidden="1" spans="1:42">
      <c r="A11" s="15">
        <v>110013</v>
      </c>
      <c r="B11" s="15" t="s">
        <v>82</v>
      </c>
      <c r="C11" s="15" t="s">
        <v>82</v>
      </c>
      <c r="D11" s="16" t="s">
        <v>83</v>
      </c>
      <c r="E11" s="1">
        <v>26</v>
      </c>
      <c r="F11" s="7">
        <v>-1</v>
      </c>
      <c r="G11" s="7">
        <v>0</v>
      </c>
      <c r="H11" s="7">
        <v>0</v>
      </c>
      <c r="I11" s="15" t="s">
        <v>43</v>
      </c>
      <c r="J11" s="7">
        <v>-1</v>
      </c>
      <c r="K11" s="7">
        <v>0</v>
      </c>
      <c r="L11" s="7">
        <v>0</v>
      </c>
      <c r="N11" s="24">
        <v>1</v>
      </c>
      <c r="O11" s="7">
        <v>1</v>
      </c>
      <c r="Q11" s="15" t="s">
        <v>82</v>
      </c>
      <c r="R11" s="15" t="s">
        <v>82</v>
      </c>
      <c r="S11" s="15">
        <v>10</v>
      </c>
      <c r="T11" s="7" t="str">
        <f t="shared" si="0"/>
        <v>翩鸿</v>
      </c>
      <c r="U11" s="7" t="str">
        <f t="shared" ref="U11:Z11" si="3">T11</f>
        <v>翩鸿</v>
      </c>
      <c r="V11" s="7" t="str">
        <f t="shared" si="3"/>
        <v>翩鸿</v>
      </c>
      <c r="W11" s="7" t="str">
        <f t="shared" si="3"/>
        <v>翩鸿</v>
      </c>
      <c r="X11" s="7" t="str">
        <f t="shared" si="3"/>
        <v>翩鸿</v>
      </c>
      <c r="Y11" s="7" t="str">
        <f t="shared" si="3"/>
        <v>翩鸿</v>
      </c>
      <c r="Z11" s="7" t="str">
        <f t="shared" si="3"/>
        <v>翩鸿</v>
      </c>
      <c r="AA11" s="15" t="s">
        <v>81</v>
      </c>
      <c r="AB11" s="7" t="str">
        <f t="shared" ref="AB11:AH11" si="4">AA11</f>
        <v>无</v>
      </c>
      <c r="AC11" s="7" t="str">
        <f t="shared" si="4"/>
        <v>无</v>
      </c>
      <c r="AD11" s="7" t="str">
        <f t="shared" si="4"/>
        <v>无</v>
      </c>
      <c r="AE11" s="7" t="str">
        <f t="shared" si="4"/>
        <v>无</v>
      </c>
      <c r="AF11" s="7" t="str">
        <f t="shared" si="4"/>
        <v>无</v>
      </c>
      <c r="AG11" s="7" t="str">
        <f t="shared" si="4"/>
        <v>无</v>
      </c>
      <c r="AH11" s="7" t="str">
        <f t="shared" si="4"/>
        <v>无</v>
      </c>
      <c r="AI11" s="15">
        <v>1</v>
      </c>
      <c r="AJ11" s="15">
        <v>2</v>
      </c>
      <c r="AK11" s="15">
        <v>3</v>
      </c>
      <c r="AL11" s="15">
        <v>4</v>
      </c>
      <c r="AM11" s="15">
        <v>5</v>
      </c>
      <c r="AN11" s="15">
        <v>6</v>
      </c>
      <c r="AO11" s="15">
        <v>7</v>
      </c>
      <c r="AP11" s="15"/>
    </row>
    <row r="12" s="7" customFormat="1" hidden="1" spans="1:42">
      <c r="A12" s="15">
        <v>110014</v>
      </c>
      <c r="B12" s="15" t="s">
        <v>84</v>
      </c>
      <c r="C12" s="15" t="s">
        <v>84</v>
      </c>
      <c r="D12" s="17" t="s">
        <v>85</v>
      </c>
      <c r="E12" s="1">
        <v>27</v>
      </c>
      <c r="F12" s="7">
        <v>-1</v>
      </c>
      <c r="G12" s="7">
        <v>0</v>
      </c>
      <c r="H12" s="7">
        <v>0</v>
      </c>
      <c r="I12" s="15" t="s">
        <v>43</v>
      </c>
      <c r="J12" s="7">
        <v>-1</v>
      </c>
      <c r="K12" s="7">
        <v>0</v>
      </c>
      <c r="L12" s="7">
        <v>0</v>
      </c>
      <c r="N12" s="24">
        <v>1</v>
      </c>
      <c r="O12" s="7">
        <v>1</v>
      </c>
      <c r="Q12" s="15" t="s">
        <v>84</v>
      </c>
      <c r="R12" s="15" t="s">
        <v>84</v>
      </c>
      <c r="S12" s="15">
        <v>11</v>
      </c>
      <c r="T12" s="7" t="str">
        <f t="shared" si="0"/>
        <v>亢强</v>
      </c>
      <c r="U12" s="7" t="str">
        <f t="shared" ref="U12:Z12" si="5">T12</f>
        <v>亢强</v>
      </c>
      <c r="V12" s="7" t="str">
        <f t="shared" si="5"/>
        <v>亢强</v>
      </c>
      <c r="W12" s="7" t="str">
        <f t="shared" si="5"/>
        <v>亢强</v>
      </c>
      <c r="X12" s="7" t="str">
        <f t="shared" si="5"/>
        <v>亢强</v>
      </c>
      <c r="Y12" s="7" t="str">
        <f t="shared" si="5"/>
        <v>亢强</v>
      </c>
      <c r="Z12" s="7" t="str">
        <f t="shared" si="5"/>
        <v>亢强</v>
      </c>
      <c r="AA12" s="15" t="s">
        <v>81</v>
      </c>
      <c r="AB12" s="7" t="str">
        <f t="shared" ref="AB12:AH12" si="6">AA12</f>
        <v>无</v>
      </c>
      <c r="AC12" s="7" t="str">
        <f t="shared" si="6"/>
        <v>无</v>
      </c>
      <c r="AD12" s="7" t="str">
        <f t="shared" si="6"/>
        <v>无</v>
      </c>
      <c r="AE12" s="7" t="str">
        <f t="shared" si="6"/>
        <v>无</v>
      </c>
      <c r="AF12" s="7" t="str">
        <f t="shared" si="6"/>
        <v>无</v>
      </c>
      <c r="AG12" s="7" t="str">
        <f t="shared" si="6"/>
        <v>无</v>
      </c>
      <c r="AH12" s="7" t="str">
        <f t="shared" si="6"/>
        <v>无</v>
      </c>
      <c r="AI12" s="15">
        <v>1</v>
      </c>
      <c r="AJ12" s="15">
        <v>2</v>
      </c>
      <c r="AK12" s="15">
        <v>3</v>
      </c>
      <c r="AL12" s="15">
        <v>4</v>
      </c>
      <c r="AM12" s="15">
        <v>5</v>
      </c>
      <c r="AN12" s="15">
        <v>6</v>
      </c>
      <c r="AO12" s="15">
        <v>7</v>
      </c>
      <c r="AP12" s="15"/>
    </row>
    <row r="13" s="7" customFormat="1" hidden="1" spans="1:42">
      <c r="A13" s="15">
        <v>110015</v>
      </c>
      <c r="B13" s="15" t="s">
        <v>86</v>
      </c>
      <c r="C13" s="15" t="s">
        <v>86</v>
      </c>
      <c r="D13" s="18" t="s">
        <v>87</v>
      </c>
      <c r="E13" s="1">
        <v>28</v>
      </c>
      <c r="F13" s="7">
        <v>-1</v>
      </c>
      <c r="G13" s="7">
        <v>0</v>
      </c>
      <c r="H13" s="7">
        <v>0</v>
      </c>
      <c r="I13" s="15" t="s">
        <v>43</v>
      </c>
      <c r="J13" s="7">
        <v>-1</v>
      </c>
      <c r="K13" s="7">
        <v>0</v>
      </c>
      <c r="L13" s="7">
        <v>0</v>
      </c>
      <c r="N13" s="24">
        <v>1</v>
      </c>
      <c r="O13" s="7">
        <v>1</v>
      </c>
      <c r="Q13" s="15" t="s">
        <v>86</v>
      </c>
      <c r="R13" s="15" t="s">
        <v>86</v>
      </c>
      <c r="S13" s="15">
        <v>12</v>
      </c>
      <c r="T13" s="7" t="str">
        <f t="shared" si="0"/>
        <v>干将</v>
      </c>
      <c r="U13" s="7" t="str">
        <f t="shared" ref="U13:Z13" si="7">T13</f>
        <v>干将</v>
      </c>
      <c r="V13" s="7" t="str">
        <f t="shared" si="7"/>
        <v>干将</v>
      </c>
      <c r="W13" s="7" t="str">
        <f t="shared" si="7"/>
        <v>干将</v>
      </c>
      <c r="X13" s="7" t="str">
        <f t="shared" si="7"/>
        <v>干将</v>
      </c>
      <c r="Y13" s="7" t="str">
        <f t="shared" si="7"/>
        <v>干将</v>
      </c>
      <c r="Z13" s="7" t="str">
        <f t="shared" si="7"/>
        <v>干将</v>
      </c>
      <c r="AA13" s="15" t="s">
        <v>81</v>
      </c>
      <c r="AB13" s="7" t="str">
        <f t="shared" ref="AB13:AH13" si="8">AA13</f>
        <v>无</v>
      </c>
      <c r="AC13" s="7" t="str">
        <f t="shared" si="8"/>
        <v>无</v>
      </c>
      <c r="AD13" s="7" t="str">
        <f t="shared" si="8"/>
        <v>无</v>
      </c>
      <c r="AE13" s="7" t="str">
        <f t="shared" si="8"/>
        <v>无</v>
      </c>
      <c r="AF13" s="7" t="str">
        <f t="shared" si="8"/>
        <v>无</v>
      </c>
      <c r="AG13" s="7" t="str">
        <f t="shared" si="8"/>
        <v>无</v>
      </c>
      <c r="AH13" s="7" t="str">
        <f t="shared" si="8"/>
        <v>无</v>
      </c>
      <c r="AI13" s="15">
        <v>1</v>
      </c>
      <c r="AJ13" s="15">
        <v>2</v>
      </c>
      <c r="AK13" s="15">
        <v>3</v>
      </c>
      <c r="AL13" s="15">
        <v>4</v>
      </c>
      <c r="AM13" s="15">
        <v>5</v>
      </c>
      <c r="AN13" s="15">
        <v>6</v>
      </c>
      <c r="AO13" s="15">
        <v>7</v>
      </c>
      <c r="AP13" s="15"/>
    </row>
    <row r="14" s="7" customFormat="1" hidden="1" spans="1:42">
      <c r="A14" s="15">
        <v>110016</v>
      </c>
      <c r="B14" s="15" t="s">
        <v>88</v>
      </c>
      <c r="C14" s="15" t="s">
        <v>88</v>
      </c>
      <c r="D14" s="17" t="s">
        <v>89</v>
      </c>
      <c r="E14" s="1">
        <v>29</v>
      </c>
      <c r="F14" s="7">
        <v>-1</v>
      </c>
      <c r="G14" s="7">
        <v>0</v>
      </c>
      <c r="H14" s="7">
        <v>0</v>
      </c>
      <c r="I14" s="15" t="s">
        <v>43</v>
      </c>
      <c r="J14" s="7">
        <v>-1</v>
      </c>
      <c r="K14" s="7">
        <v>0</v>
      </c>
      <c r="L14" s="7">
        <v>0</v>
      </c>
      <c r="N14" s="24">
        <v>1</v>
      </c>
      <c r="O14" s="7">
        <v>1</v>
      </c>
      <c r="Q14" s="15" t="s">
        <v>88</v>
      </c>
      <c r="R14" s="15" t="s">
        <v>88</v>
      </c>
      <c r="S14" s="15">
        <v>13</v>
      </c>
      <c r="T14" s="7" t="str">
        <f t="shared" si="0"/>
        <v>惊天动地</v>
      </c>
      <c r="U14" s="7" t="str">
        <f t="shared" ref="U14:Z14" si="9">T14</f>
        <v>惊天动地</v>
      </c>
      <c r="V14" s="7" t="str">
        <f t="shared" si="9"/>
        <v>惊天动地</v>
      </c>
      <c r="W14" s="7" t="str">
        <f t="shared" si="9"/>
        <v>惊天动地</v>
      </c>
      <c r="X14" s="7" t="str">
        <f t="shared" si="9"/>
        <v>惊天动地</v>
      </c>
      <c r="Y14" s="7" t="str">
        <f t="shared" si="9"/>
        <v>惊天动地</v>
      </c>
      <c r="Z14" s="7" t="str">
        <f t="shared" si="9"/>
        <v>惊天动地</v>
      </c>
      <c r="AA14" s="15" t="s">
        <v>81</v>
      </c>
      <c r="AB14" s="7" t="str">
        <f t="shared" ref="AB14:AH14" si="10">AA14</f>
        <v>无</v>
      </c>
      <c r="AC14" s="7" t="str">
        <f t="shared" si="10"/>
        <v>无</v>
      </c>
      <c r="AD14" s="7" t="str">
        <f t="shared" si="10"/>
        <v>无</v>
      </c>
      <c r="AE14" s="7" t="str">
        <f t="shared" si="10"/>
        <v>无</v>
      </c>
      <c r="AF14" s="7" t="str">
        <f t="shared" si="10"/>
        <v>无</v>
      </c>
      <c r="AG14" s="7" t="str">
        <f t="shared" si="10"/>
        <v>无</v>
      </c>
      <c r="AH14" s="7" t="str">
        <f t="shared" si="10"/>
        <v>无</v>
      </c>
      <c r="AI14" s="15">
        <v>1</v>
      </c>
      <c r="AJ14" s="15">
        <v>2</v>
      </c>
      <c r="AK14" s="15">
        <v>3</v>
      </c>
      <c r="AL14" s="15">
        <v>4</v>
      </c>
      <c r="AM14" s="15">
        <v>5</v>
      </c>
      <c r="AN14" s="15">
        <v>6</v>
      </c>
      <c r="AO14" s="15">
        <v>7</v>
      </c>
      <c r="AP14" s="15"/>
    </row>
    <row r="15" s="7" customFormat="1" hidden="1" spans="1:42">
      <c r="A15" s="15">
        <v>110017</v>
      </c>
      <c r="B15" s="15" t="s">
        <v>90</v>
      </c>
      <c r="C15" s="15" t="s">
        <v>90</v>
      </c>
      <c r="D15" s="17" t="s">
        <v>91</v>
      </c>
      <c r="E15" s="1">
        <v>30</v>
      </c>
      <c r="F15" s="7">
        <v>-1</v>
      </c>
      <c r="G15" s="7">
        <v>0</v>
      </c>
      <c r="H15" s="7">
        <v>0</v>
      </c>
      <c r="I15" s="15" t="s">
        <v>43</v>
      </c>
      <c r="J15" s="7">
        <v>-1</v>
      </c>
      <c r="K15" s="7">
        <v>0</v>
      </c>
      <c r="L15" s="7">
        <v>0</v>
      </c>
      <c r="N15" s="24">
        <v>1</v>
      </c>
      <c r="O15" s="7">
        <v>1</v>
      </c>
      <c r="Q15" s="15" t="s">
        <v>90</v>
      </c>
      <c r="R15" s="15" t="s">
        <v>90</v>
      </c>
      <c r="S15" s="15">
        <v>14</v>
      </c>
      <c r="T15" s="7" t="str">
        <f t="shared" si="0"/>
        <v>破势</v>
      </c>
      <c r="U15" s="7" t="str">
        <f t="shared" ref="U15:Z15" si="11">T15</f>
        <v>破势</v>
      </c>
      <c r="V15" s="7" t="str">
        <f t="shared" si="11"/>
        <v>破势</v>
      </c>
      <c r="W15" s="7" t="str">
        <f t="shared" si="11"/>
        <v>破势</v>
      </c>
      <c r="X15" s="7" t="str">
        <f t="shared" si="11"/>
        <v>破势</v>
      </c>
      <c r="Y15" s="7" t="str">
        <f t="shared" si="11"/>
        <v>破势</v>
      </c>
      <c r="Z15" s="7" t="str">
        <f t="shared" si="11"/>
        <v>破势</v>
      </c>
      <c r="AA15" s="15" t="s">
        <v>81</v>
      </c>
      <c r="AB15" s="7" t="str">
        <f t="shared" ref="AB15:AH15" si="12">AA15</f>
        <v>无</v>
      </c>
      <c r="AC15" s="7" t="str">
        <f t="shared" si="12"/>
        <v>无</v>
      </c>
      <c r="AD15" s="7" t="str">
        <f t="shared" si="12"/>
        <v>无</v>
      </c>
      <c r="AE15" s="7" t="str">
        <f t="shared" si="12"/>
        <v>无</v>
      </c>
      <c r="AF15" s="7" t="str">
        <f t="shared" si="12"/>
        <v>无</v>
      </c>
      <c r="AG15" s="7" t="str">
        <f t="shared" si="12"/>
        <v>无</v>
      </c>
      <c r="AH15" s="7" t="str">
        <f t="shared" si="12"/>
        <v>无</v>
      </c>
      <c r="AI15" s="15">
        <v>1</v>
      </c>
      <c r="AJ15" s="15">
        <v>2</v>
      </c>
      <c r="AK15" s="15">
        <v>3</v>
      </c>
      <c r="AL15" s="15">
        <v>4</v>
      </c>
      <c r="AM15" s="15">
        <v>5</v>
      </c>
      <c r="AN15" s="15">
        <v>6</v>
      </c>
      <c r="AO15" s="15">
        <v>7</v>
      </c>
      <c r="AP15" s="15"/>
    </row>
    <row r="16" s="7" customFormat="1" hidden="1" spans="1:42">
      <c r="A16" s="15">
        <v>110018</v>
      </c>
      <c r="B16" s="15" t="s">
        <v>92</v>
      </c>
      <c r="C16" s="15" t="s">
        <v>92</v>
      </c>
      <c r="D16" s="19" t="s">
        <v>93</v>
      </c>
      <c r="E16" s="1">
        <v>31</v>
      </c>
      <c r="F16" s="7">
        <v>-1</v>
      </c>
      <c r="G16" s="7">
        <v>0</v>
      </c>
      <c r="H16" s="7">
        <v>0</v>
      </c>
      <c r="I16" s="15" t="s">
        <v>43</v>
      </c>
      <c r="J16" s="7">
        <v>-1</v>
      </c>
      <c r="K16" s="7">
        <v>0</v>
      </c>
      <c r="L16" s="7">
        <v>0</v>
      </c>
      <c r="N16" s="24">
        <v>1</v>
      </c>
      <c r="O16" s="7">
        <v>1</v>
      </c>
      <c r="Q16" s="15" t="s">
        <v>92</v>
      </c>
      <c r="R16" s="15" t="s">
        <v>92</v>
      </c>
      <c r="S16" s="15">
        <v>15</v>
      </c>
      <c r="T16" s="7" t="str">
        <f t="shared" si="0"/>
        <v>额外能力</v>
      </c>
      <c r="U16" s="7" t="str">
        <f t="shared" ref="U16:Z16" si="13">T16</f>
        <v>额外能力</v>
      </c>
      <c r="V16" s="7" t="str">
        <f t="shared" si="13"/>
        <v>额外能力</v>
      </c>
      <c r="W16" s="7" t="str">
        <f t="shared" si="13"/>
        <v>额外能力</v>
      </c>
      <c r="X16" s="7" t="str">
        <f t="shared" si="13"/>
        <v>额外能力</v>
      </c>
      <c r="Y16" s="7" t="str">
        <f t="shared" si="13"/>
        <v>额外能力</v>
      </c>
      <c r="Z16" s="7" t="str">
        <f t="shared" si="13"/>
        <v>额外能力</v>
      </c>
      <c r="AA16" s="15" t="s">
        <v>81</v>
      </c>
      <c r="AB16" s="7" t="str">
        <f t="shared" ref="AB16:AH16" si="14">AA16</f>
        <v>无</v>
      </c>
      <c r="AC16" s="7" t="str">
        <f t="shared" si="14"/>
        <v>无</v>
      </c>
      <c r="AD16" s="7" t="str">
        <f t="shared" si="14"/>
        <v>无</v>
      </c>
      <c r="AE16" s="7" t="str">
        <f t="shared" si="14"/>
        <v>无</v>
      </c>
      <c r="AF16" s="7" t="str">
        <f t="shared" si="14"/>
        <v>无</v>
      </c>
      <c r="AG16" s="7" t="str">
        <f t="shared" si="14"/>
        <v>无</v>
      </c>
      <c r="AH16" s="7" t="str">
        <f t="shared" si="14"/>
        <v>无</v>
      </c>
      <c r="AI16" s="15">
        <v>1</v>
      </c>
      <c r="AJ16" s="15">
        <v>2</v>
      </c>
      <c r="AK16" s="15">
        <v>3</v>
      </c>
      <c r="AL16" s="15">
        <v>4</v>
      </c>
      <c r="AM16" s="15">
        <v>5</v>
      </c>
      <c r="AN16" s="15">
        <v>6</v>
      </c>
      <c r="AO16" s="15">
        <v>7</v>
      </c>
      <c r="AP16" s="15"/>
    </row>
    <row r="17" s="7" customFormat="1" hidden="1" spans="1:42">
      <c r="A17" s="15">
        <v>110019</v>
      </c>
      <c r="B17" s="15" t="s">
        <v>94</v>
      </c>
      <c r="C17" s="15" t="s">
        <v>94</v>
      </c>
      <c r="D17" s="17" t="s">
        <v>95</v>
      </c>
      <c r="E17" s="1">
        <v>32</v>
      </c>
      <c r="F17" s="7">
        <v>-1</v>
      </c>
      <c r="G17" s="7">
        <v>0</v>
      </c>
      <c r="H17" s="7">
        <v>0</v>
      </c>
      <c r="I17" s="15" t="s">
        <v>43</v>
      </c>
      <c r="J17" s="7">
        <v>-1</v>
      </c>
      <c r="K17" s="7">
        <v>0</v>
      </c>
      <c r="L17" s="7">
        <v>0</v>
      </c>
      <c r="N17" s="24">
        <v>1</v>
      </c>
      <c r="O17" s="7">
        <v>1</v>
      </c>
      <c r="Q17" s="15" t="s">
        <v>94</v>
      </c>
      <c r="R17" s="15" t="s">
        <v>94</v>
      </c>
      <c r="S17" s="15">
        <v>16</v>
      </c>
      <c r="T17" s="7" t="str">
        <f t="shared" si="0"/>
        <v>勇进</v>
      </c>
      <c r="U17" s="7" t="str">
        <f t="shared" ref="U17:Z17" si="15">T17</f>
        <v>勇进</v>
      </c>
      <c r="V17" s="7" t="str">
        <f t="shared" si="15"/>
        <v>勇进</v>
      </c>
      <c r="W17" s="7" t="str">
        <f t="shared" si="15"/>
        <v>勇进</v>
      </c>
      <c r="X17" s="7" t="str">
        <f t="shared" si="15"/>
        <v>勇进</v>
      </c>
      <c r="Y17" s="7" t="str">
        <f t="shared" si="15"/>
        <v>勇进</v>
      </c>
      <c r="Z17" s="7" t="str">
        <f t="shared" si="15"/>
        <v>勇进</v>
      </c>
      <c r="AA17" s="15" t="s">
        <v>81</v>
      </c>
      <c r="AB17" s="7" t="str">
        <f t="shared" ref="AB17:AH17" si="16">AA17</f>
        <v>无</v>
      </c>
      <c r="AC17" s="7" t="str">
        <f t="shared" si="16"/>
        <v>无</v>
      </c>
      <c r="AD17" s="7" t="str">
        <f t="shared" si="16"/>
        <v>无</v>
      </c>
      <c r="AE17" s="7" t="str">
        <f t="shared" si="16"/>
        <v>无</v>
      </c>
      <c r="AF17" s="7" t="str">
        <f t="shared" si="16"/>
        <v>无</v>
      </c>
      <c r="AG17" s="7" t="str">
        <f t="shared" si="16"/>
        <v>无</v>
      </c>
      <c r="AH17" s="7" t="str">
        <f t="shared" si="16"/>
        <v>无</v>
      </c>
      <c r="AI17" s="15">
        <v>1</v>
      </c>
      <c r="AJ17" s="15">
        <v>2</v>
      </c>
      <c r="AK17" s="15">
        <v>3</v>
      </c>
      <c r="AL17" s="15">
        <v>4</v>
      </c>
      <c r="AM17" s="15">
        <v>5</v>
      </c>
      <c r="AN17" s="15">
        <v>6</v>
      </c>
      <c r="AO17" s="15">
        <v>7</v>
      </c>
      <c r="AP17" s="15"/>
    </row>
    <row r="18" s="7" customFormat="1" hidden="1" spans="1:42">
      <c r="A18" s="15">
        <v>110020</v>
      </c>
      <c r="B18" s="15" t="s">
        <v>96</v>
      </c>
      <c r="C18" s="15" t="s">
        <v>96</v>
      </c>
      <c r="D18" s="16" t="s">
        <v>97</v>
      </c>
      <c r="E18" s="1">
        <v>33</v>
      </c>
      <c r="F18" s="7">
        <v>-1</v>
      </c>
      <c r="G18" s="7">
        <v>0</v>
      </c>
      <c r="H18" s="7">
        <v>0</v>
      </c>
      <c r="I18" s="15" t="s">
        <v>43</v>
      </c>
      <c r="J18" s="7">
        <v>-1</v>
      </c>
      <c r="K18" s="7">
        <v>0</v>
      </c>
      <c r="L18" s="7">
        <v>0</v>
      </c>
      <c r="N18" s="24">
        <v>1</v>
      </c>
      <c r="O18" s="7">
        <v>1</v>
      </c>
      <c r="Q18" s="15" t="s">
        <v>96</v>
      </c>
      <c r="R18" s="15" t="s">
        <v>96</v>
      </c>
      <c r="S18" s="15">
        <v>17</v>
      </c>
      <c r="T18" s="7" t="str">
        <f t="shared" si="0"/>
        <v>勇武</v>
      </c>
      <c r="U18" s="7" t="str">
        <f t="shared" ref="U18:Z18" si="17">T18</f>
        <v>勇武</v>
      </c>
      <c r="V18" s="7" t="str">
        <f t="shared" si="17"/>
        <v>勇武</v>
      </c>
      <c r="W18" s="7" t="str">
        <f t="shared" si="17"/>
        <v>勇武</v>
      </c>
      <c r="X18" s="7" t="str">
        <f t="shared" si="17"/>
        <v>勇武</v>
      </c>
      <c r="Y18" s="7" t="str">
        <f t="shared" si="17"/>
        <v>勇武</v>
      </c>
      <c r="Z18" s="7" t="str">
        <f t="shared" si="17"/>
        <v>勇武</v>
      </c>
      <c r="AA18" s="15" t="s">
        <v>81</v>
      </c>
      <c r="AB18" s="7" t="str">
        <f t="shared" ref="AB18:AH18" si="18">AA18</f>
        <v>无</v>
      </c>
      <c r="AC18" s="7" t="str">
        <f t="shared" si="18"/>
        <v>无</v>
      </c>
      <c r="AD18" s="7" t="str">
        <f t="shared" si="18"/>
        <v>无</v>
      </c>
      <c r="AE18" s="7" t="str">
        <f t="shared" si="18"/>
        <v>无</v>
      </c>
      <c r="AF18" s="7" t="str">
        <f t="shared" si="18"/>
        <v>无</v>
      </c>
      <c r="AG18" s="7" t="str">
        <f t="shared" si="18"/>
        <v>无</v>
      </c>
      <c r="AH18" s="7" t="str">
        <f t="shared" si="18"/>
        <v>无</v>
      </c>
      <c r="AI18" s="15">
        <v>1</v>
      </c>
      <c r="AJ18" s="15">
        <v>2</v>
      </c>
      <c r="AK18" s="15">
        <v>3</v>
      </c>
      <c r="AL18" s="15">
        <v>4</v>
      </c>
      <c r="AM18" s="15">
        <v>5</v>
      </c>
      <c r="AN18" s="15">
        <v>6</v>
      </c>
      <c r="AO18" s="15">
        <v>7</v>
      </c>
      <c r="AP18" s="15"/>
    </row>
    <row r="19" s="7" customFormat="1" hidden="1" spans="1:42">
      <c r="A19" s="15">
        <v>110021</v>
      </c>
      <c r="B19" s="15" t="s">
        <v>98</v>
      </c>
      <c r="C19" s="15" t="s">
        <v>98</v>
      </c>
      <c r="D19" s="17" t="s">
        <v>91</v>
      </c>
      <c r="E19" s="1">
        <v>34</v>
      </c>
      <c r="F19" s="7">
        <v>-1</v>
      </c>
      <c r="G19" s="7">
        <v>0</v>
      </c>
      <c r="H19" s="7">
        <v>0</v>
      </c>
      <c r="I19" s="15" t="s">
        <v>43</v>
      </c>
      <c r="J19" s="7">
        <v>-1</v>
      </c>
      <c r="K19" s="7">
        <v>0</v>
      </c>
      <c r="L19" s="7">
        <v>0</v>
      </c>
      <c r="N19" s="24">
        <v>1</v>
      </c>
      <c r="O19" s="7">
        <v>1</v>
      </c>
      <c r="Q19" s="15" t="s">
        <v>98</v>
      </c>
      <c r="R19" s="15" t="s">
        <v>98</v>
      </c>
      <c r="S19" s="15">
        <v>18</v>
      </c>
      <c r="T19" s="7" t="str">
        <f t="shared" si="0"/>
        <v>念心</v>
      </c>
      <c r="U19" s="7" t="str">
        <f t="shared" ref="U19:Z19" si="19">T19</f>
        <v>念心</v>
      </c>
      <c r="V19" s="7" t="str">
        <f t="shared" si="19"/>
        <v>念心</v>
      </c>
      <c r="W19" s="7" t="str">
        <f t="shared" si="19"/>
        <v>念心</v>
      </c>
      <c r="X19" s="7" t="str">
        <f t="shared" si="19"/>
        <v>念心</v>
      </c>
      <c r="Y19" s="7" t="str">
        <f t="shared" si="19"/>
        <v>念心</v>
      </c>
      <c r="Z19" s="7" t="str">
        <f t="shared" si="19"/>
        <v>念心</v>
      </c>
      <c r="AA19" s="15" t="s">
        <v>81</v>
      </c>
      <c r="AB19" s="7" t="str">
        <f t="shared" ref="AB19:AH19" si="20">AA19</f>
        <v>无</v>
      </c>
      <c r="AC19" s="7" t="str">
        <f t="shared" si="20"/>
        <v>无</v>
      </c>
      <c r="AD19" s="7" t="str">
        <f t="shared" si="20"/>
        <v>无</v>
      </c>
      <c r="AE19" s="7" t="str">
        <f t="shared" si="20"/>
        <v>无</v>
      </c>
      <c r="AF19" s="7" t="str">
        <f t="shared" si="20"/>
        <v>无</v>
      </c>
      <c r="AG19" s="7" t="str">
        <f t="shared" si="20"/>
        <v>无</v>
      </c>
      <c r="AH19" s="7" t="str">
        <f t="shared" si="20"/>
        <v>无</v>
      </c>
      <c r="AI19" s="15">
        <v>1</v>
      </c>
      <c r="AJ19" s="15">
        <v>2</v>
      </c>
      <c r="AK19" s="15">
        <v>3</v>
      </c>
      <c r="AL19" s="15">
        <v>4</v>
      </c>
      <c r="AM19" s="15">
        <v>5</v>
      </c>
      <c r="AN19" s="15">
        <v>6</v>
      </c>
      <c r="AO19" s="15">
        <v>7</v>
      </c>
      <c r="AP19" s="15"/>
    </row>
    <row r="20" s="7" customFormat="1" hidden="1" spans="1:42">
      <c r="A20" s="15">
        <v>110022</v>
      </c>
      <c r="B20" s="15" t="s">
        <v>99</v>
      </c>
      <c r="C20" s="15" t="s">
        <v>99</v>
      </c>
      <c r="D20" s="17" t="s">
        <v>100</v>
      </c>
      <c r="E20" s="1">
        <v>35</v>
      </c>
      <c r="F20" s="7">
        <v>-1</v>
      </c>
      <c r="G20" s="7">
        <v>0</v>
      </c>
      <c r="H20" s="7">
        <v>0</v>
      </c>
      <c r="I20" s="15" t="s">
        <v>43</v>
      </c>
      <c r="J20" s="7">
        <v>-1</v>
      </c>
      <c r="K20" s="7">
        <v>0</v>
      </c>
      <c r="L20" s="7">
        <v>0</v>
      </c>
      <c r="N20" s="24">
        <v>1</v>
      </c>
      <c r="O20" s="7">
        <v>1</v>
      </c>
      <c r="Q20" s="15" t="s">
        <v>99</v>
      </c>
      <c r="R20" s="15" t="s">
        <v>99</v>
      </c>
      <c r="S20" s="15">
        <v>19</v>
      </c>
      <c r="T20" s="7" t="str">
        <f t="shared" si="0"/>
        <v>勇念</v>
      </c>
      <c r="U20" s="7" t="str">
        <f t="shared" ref="U20:Z20" si="21">T20</f>
        <v>勇念</v>
      </c>
      <c r="V20" s="7" t="str">
        <f t="shared" si="21"/>
        <v>勇念</v>
      </c>
      <c r="W20" s="7" t="str">
        <f t="shared" si="21"/>
        <v>勇念</v>
      </c>
      <c r="X20" s="7" t="str">
        <f t="shared" si="21"/>
        <v>勇念</v>
      </c>
      <c r="Y20" s="7" t="str">
        <f t="shared" si="21"/>
        <v>勇念</v>
      </c>
      <c r="Z20" s="7" t="str">
        <f t="shared" si="21"/>
        <v>勇念</v>
      </c>
      <c r="AA20" s="15" t="s">
        <v>81</v>
      </c>
      <c r="AB20" s="7" t="str">
        <f t="shared" ref="AB20:AH20" si="22">AA20</f>
        <v>无</v>
      </c>
      <c r="AC20" s="7" t="str">
        <f t="shared" si="22"/>
        <v>无</v>
      </c>
      <c r="AD20" s="7" t="str">
        <f t="shared" si="22"/>
        <v>无</v>
      </c>
      <c r="AE20" s="7" t="str">
        <f t="shared" si="22"/>
        <v>无</v>
      </c>
      <c r="AF20" s="7" t="str">
        <f t="shared" si="22"/>
        <v>无</v>
      </c>
      <c r="AG20" s="7" t="str">
        <f t="shared" si="22"/>
        <v>无</v>
      </c>
      <c r="AH20" s="7" t="str">
        <f t="shared" si="22"/>
        <v>无</v>
      </c>
      <c r="AI20" s="15">
        <v>1</v>
      </c>
      <c r="AJ20" s="15">
        <v>2</v>
      </c>
      <c r="AK20" s="15">
        <v>3</v>
      </c>
      <c r="AL20" s="15">
        <v>4</v>
      </c>
      <c r="AM20" s="15">
        <v>5</v>
      </c>
      <c r="AN20" s="15">
        <v>6</v>
      </c>
      <c r="AO20" s="15">
        <v>7</v>
      </c>
      <c r="AP20" s="15"/>
    </row>
    <row r="21" s="7" customFormat="1" hidden="1" spans="1:42">
      <c r="A21" s="15">
        <v>110023</v>
      </c>
      <c r="B21" s="15" t="s">
        <v>101</v>
      </c>
      <c r="C21" s="15" t="s">
        <v>101</v>
      </c>
      <c r="D21" s="17" t="s">
        <v>91</v>
      </c>
      <c r="E21" s="1">
        <v>36</v>
      </c>
      <c r="F21" s="7">
        <v>-1</v>
      </c>
      <c r="G21" s="7">
        <v>0</v>
      </c>
      <c r="H21" s="7">
        <v>0</v>
      </c>
      <c r="I21" s="15" t="s">
        <v>43</v>
      </c>
      <c r="J21" s="7">
        <v>-1</v>
      </c>
      <c r="K21" s="7">
        <v>0</v>
      </c>
      <c r="L21" s="7">
        <v>0</v>
      </c>
      <c r="N21" s="24">
        <v>1</v>
      </c>
      <c r="O21" s="7">
        <v>1</v>
      </c>
      <c r="Q21" s="15" t="s">
        <v>101</v>
      </c>
      <c r="R21" s="15" t="s">
        <v>101</v>
      </c>
      <c r="S21" s="15">
        <v>20</v>
      </c>
      <c r="T21" s="7" t="str">
        <f t="shared" si="0"/>
        <v>不惊</v>
      </c>
      <c r="U21" s="7" t="str">
        <f t="shared" ref="U21:Z21" si="23">T21</f>
        <v>不惊</v>
      </c>
      <c r="V21" s="7" t="str">
        <f t="shared" si="23"/>
        <v>不惊</v>
      </c>
      <c r="W21" s="7" t="str">
        <f t="shared" si="23"/>
        <v>不惊</v>
      </c>
      <c r="X21" s="7" t="str">
        <f t="shared" si="23"/>
        <v>不惊</v>
      </c>
      <c r="Y21" s="7" t="str">
        <f t="shared" si="23"/>
        <v>不惊</v>
      </c>
      <c r="Z21" s="7" t="str">
        <f t="shared" si="23"/>
        <v>不惊</v>
      </c>
      <c r="AA21" s="15" t="s">
        <v>81</v>
      </c>
      <c r="AB21" s="7" t="str">
        <f t="shared" ref="AB21:AH21" si="24">AA21</f>
        <v>无</v>
      </c>
      <c r="AC21" s="7" t="str">
        <f t="shared" si="24"/>
        <v>无</v>
      </c>
      <c r="AD21" s="7" t="str">
        <f t="shared" si="24"/>
        <v>无</v>
      </c>
      <c r="AE21" s="7" t="str">
        <f t="shared" si="24"/>
        <v>无</v>
      </c>
      <c r="AF21" s="7" t="str">
        <f t="shared" si="24"/>
        <v>无</v>
      </c>
      <c r="AG21" s="7" t="str">
        <f t="shared" si="24"/>
        <v>无</v>
      </c>
      <c r="AH21" s="7" t="str">
        <f t="shared" si="24"/>
        <v>无</v>
      </c>
      <c r="AI21" s="15">
        <v>1</v>
      </c>
      <c r="AJ21" s="15">
        <v>2</v>
      </c>
      <c r="AK21" s="15">
        <v>3</v>
      </c>
      <c r="AL21" s="15">
        <v>4</v>
      </c>
      <c r="AM21" s="15">
        <v>5</v>
      </c>
      <c r="AN21" s="15">
        <v>6</v>
      </c>
      <c r="AO21" s="15">
        <v>7</v>
      </c>
      <c r="AP21" s="15"/>
    </row>
    <row r="22" s="7" customFormat="1" hidden="1" spans="1:42">
      <c r="A22" s="15">
        <v>110024</v>
      </c>
      <c r="B22" s="15" t="s">
        <v>102</v>
      </c>
      <c r="C22" s="15" t="s">
        <v>102</v>
      </c>
      <c r="D22" s="17" t="s">
        <v>103</v>
      </c>
      <c r="E22" s="1">
        <v>37</v>
      </c>
      <c r="F22" s="7">
        <v>-1</v>
      </c>
      <c r="G22" s="7">
        <v>0</v>
      </c>
      <c r="H22" s="7">
        <v>0</v>
      </c>
      <c r="I22" s="15" t="s">
        <v>43</v>
      </c>
      <c r="J22" s="7">
        <v>-1</v>
      </c>
      <c r="K22" s="7">
        <v>0</v>
      </c>
      <c r="L22" s="7">
        <v>0</v>
      </c>
      <c r="N22" s="24">
        <v>1</v>
      </c>
      <c r="O22" s="7">
        <v>1</v>
      </c>
      <c r="Q22" s="15" t="s">
        <v>102</v>
      </c>
      <c r="R22" s="15" t="s">
        <v>102</v>
      </c>
      <c r="S22" s="15">
        <v>21</v>
      </c>
      <c r="T22" s="7" t="str">
        <f t="shared" si="0"/>
        <v>孤勇</v>
      </c>
      <c r="U22" s="7" t="str">
        <f t="shared" ref="U22:Z22" si="25">T22</f>
        <v>孤勇</v>
      </c>
      <c r="V22" s="7" t="str">
        <f t="shared" si="25"/>
        <v>孤勇</v>
      </c>
      <c r="W22" s="7" t="str">
        <f t="shared" si="25"/>
        <v>孤勇</v>
      </c>
      <c r="X22" s="7" t="str">
        <f t="shared" si="25"/>
        <v>孤勇</v>
      </c>
      <c r="Y22" s="7" t="str">
        <f t="shared" si="25"/>
        <v>孤勇</v>
      </c>
      <c r="Z22" s="7" t="str">
        <f t="shared" si="25"/>
        <v>孤勇</v>
      </c>
      <c r="AA22" s="15" t="s">
        <v>81</v>
      </c>
      <c r="AB22" s="7" t="str">
        <f t="shared" ref="AB22:AH22" si="26">AA22</f>
        <v>无</v>
      </c>
      <c r="AC22" s="7" t="str">
        <f t="shared" si="26"/>
        <v>无</v>
      </c>
      <c r="AD22" s="7" t="str">
        <f t="shared" si="26"/>
        <v>无</v>
      </c>
      <c r="AE22" s="7" t="str">
        <f t="shared" si="26"/>
        <v>无</v>
      </c>
      <c r="AF22" s="7" t="str">
        <f t="shared" si="26"/>
        <v>无</v>
      </c>
      <c r="AG22" s="7" t="str">
        <f t="shared" si="26"/>
        <v>无</v>
      </c>
      <c r="AH22" s="7" t="str">
        <f t="shared" si="26"/>
        <v>无</v>
      </c>
      <c r="AI22" s="15">
        <v>1</v>
      </c>
      <c r="AJ22" s="15">
        <v>2</v>
      </c>
      <c r="AK22" s="15">
        <v>3</v>
      </c>
      <c r="AL22" s="15">
        <v>4</v>
      </c>
      <c r="AM22" s="15">
        <v>5</v>
      </c>
      <c r="AN22" s="15">
        <v>6</v>
      </c>
      <c r="AO22" s="15">
        <v>7</v>
      </c>
      <c r="AP22" s="15"/>
    </row>
    <row r="23" s="7" customFormat="1" hidden="1" spans="1:42">
      <c r="A23" s="15">
        <v>110025</v>
      </c>
      <c r="B23" s="15" t="s">
        <v>104</v>
      </c>
      <c r="C23" s="15" t="s">
        <v>104</v>
      </c>
      <c r="D23" s="17" t="s">
        <v>105</v>
      </c>
      <c r="E23" s="1">
        <v>38</v>
      </c>
      <c r="F23" s="7">
        <v>-1</v>
      </c>
      <c r="G23" s="7">
        <v>0</v>
      </c>
      <c r="H23" s="7">
        <v>0</v>
      </c>
      <c r="I23" s="15" t="s">
        <v>43</v>
      </c>
      <c r="J23" s="7">
        <v>-1</v>
      </c>
      <c r="K23" s="7">
        <v>0</v>
      </c>
      <c r="L23" s="7">
        <v>0</v>
      </c>
      <c r="N23" s="24">
        <v>1</v>
      </c>
      <c r="O23" s="7">
        <v>1</v>
      </c>
      <c r="Q23" s="15" t="s">
        <v>104</v>
      </c>
      <c r="R23" s="15" t="s">
        <v>104</v>
      </c>
      <c r="S23" s="15">
        <v>22</v>
      </c>
      <c r="T23" s="7" t="str">
        <f t="shared" si="0"/>
        <v>破军</v>
      </c>
      <c r="U23" s="7" t="str">
        <f t="shared" ref="U23:Z23" si="27">T23</f>
        <v>破军</v>
      </c>
      <c r="V23" s="7" t="str">
        <f t="shared" si="27"/>
        <v>破军</v>
      </c>
      <c r="W23" s="7" t="str">
        <f t="shared" si="27"/>
        <v>破军</v>
      </c>
      <c r="X23" s="7" t="str">
        <f t="shared" si="27"/>
        <v>破军</v>
      </c>
      <c r="Y23" s="7" t="str">
        <f t="shared" si="27"/>
        <v>破军</v>
      </c>
      <c r="Z23" s="7" t="str">
        <f t="shared" si="27"/>
        <v>破军</v>
      </c>
      <c r="AA23" s="15" t="s">
        <v>81</v>
      </c>
      <c r="AB23" s="7" t="str">
        <f t="shared" ref="AB23:AH23" si="28">AA23</f>
        <v>无</v>
      </c>
      <c r="AC23" s="7" t="str">
        <f t="shared" si="28"/>
        <v>无</v>
      </c>
      <c r="AD23" s="7" t="str">
        <f t="shared" si="28"/>
        <v>无</v>
      </c>
      <c r="AE23" s="7" t="str">
        <f t="shared" si="28"/>
        <v>无</v>
      </c>
      <c r="AF23" s="7" t="str">
        <f t="shared" si="28"/>
        <v>无</v>
      </c>
      <c r="AG23" s="7" t="str">
        <f t="shared" si="28"/>
        <v>无</v>
      </c>
      <c r="AH23" s="7" t="str">
        <f t="shared" si="28"/>
        <v>无</v>
      </c>
      <c r="AI23" s="15">
        <v>1</v>
      </c>
      <c r="AJ23" s="15">
        <v>2</v>
      </c>
      <c r="AK23" s="15">
        <v>3</v>
      </c>
      <c r="AL23" s="15">
        <v>4</v>
      </c>
      <c r="AM23" s="15">
        <v>5</v>
      </c>
      <c r="AN23" s="15">
        <v>6</v>
      </c>
      <c r="AO23" s="15">
        <v>7</v>
      </c>
      <c r="AP23" s="15"/>
    </row>
    <row r="24" s="7" customFormat="1" hidden="1" spans="1:42">
      <c r="A24" s="15">
        <v>110026</v>
      </c>
      <c r="B24" s="15" t="s">
        <v>106</v>
      </c>
      <c r="C24" s="15" t="s">
        <v>106</v>
      </c>
      <c r="D24" s="16" t="s">
        <v>83</v>
      </c>
      <c r="E24" s="1">
        <v>39</v>
      </c>
      <c r="F24" s="7">
        <v>-1</v>
      </c>
      <c r="G24" s="7">
        <v>0</v>
      </c>
      <c r="H24" s="7">
        <v>0</v>
      </c>
      <c r="I24" s="15" t="s">
        <v>43</v>
      </c>
      <c r="J24" s="7">
        <v>-1</v>
      </c>
      <c r="K24" s="7">
        <v>0</v>
      </c>
      <c r="L24" s="7">
        <v>0</v>
      </c>
      <c r="N24" s="24">
        <v>1</v>
      </c>
      <c r="O24" s="7">
        <v>1</v>
      </c>
      <c r="Q24" s="15" t="s">
        <v>106</v>
      </c>
      <c r="R24" s="15" t="s">
        <v>106</v>
      </c>
      <c r="S24" s="15">
        <v>23</v>
      </c>
      <c r="T24" s="7" t="str">
        <f t="shared" si="0"/>
        <v>突刺</v>
      </c>
      <c r="U24" s="7" t="str">
        <f t="shared" ref="U24:Z24" si="29">T24</f>
        <v>突刺</v>
      </c>
      <c r="V24" s="7" t="str">
        <f t="shared" si="29"/>
        <v>突刺</v>
      </c>
      <c r="W24" s="7" t="str">
        <f t="shared" si="29"/>
        <v>突刺</v>
      </c>
      <c r="X24" s="7" t="str">
        <f t="shared" si="29"/>
        <v>突刺</v>
      </c>
      <c r="Y24" s="7" t="str">
        <f t="shared" si="29"/>
        <v>突刺</v>
      </c>
      <c r="Z24" s="7" t="str">
        <f t="shared" si="29"/>
        <v>突刺</v>
      </c>
      <c r="AA24" s="15" t="s">
        <v>81</v>
      </c>
      <c r="AB24" s="7" t="str">
        <f t="shared" ref="AB24:AH24" si="30">AA24</f>
        <v>无</v>
      </c>
      <c r="AC24" s="7" t="str">
        <f t="shared" si="30"/>
        <v>无</v>
      </c>
      <c r="AD24" s="7" t="str">
        <f t="shared" si="30"/>
        <v>无</v>
      </c>
      <c r="AE24" s="7" t="str">
        <f t="shared" si="30"/>
        <v>无</v>
      </c>
      <c r="AF24" s="7" t="str">
        <f t="shared" si="30"/>
        <v>无</v>
      </c>
      <c r="AG24" s="7" t="str">
        <f t="shared" si="30"/>
        <v>无</v>
      </c>
      <c r="AH24" s="7" t="str">
        <f t="shared" si="30"/>
        <v>无</v>
      </c>
      <c r="AI24" s="15">
        <v>1</v>
      </c>
      <c r="AJ24" s="15">
        <v>2</v>
      </c>
      <c r="AK24" s="15">
        <v>3</v>
      </c>
      <c r="AL24" s="15">
        <v>4</v>
      </c>
      <c r="AM24" s="15">
        <v>5</v>
      </c>
      <c r="AN24" s="15">
        <v>6</v>
      </c>
      <c r="AO24" s="15">
        <v>7</v>
      </c>
      <c r="AP24" s="15"/>
    </row>
    <row r="25" s="7" customFormat="1" hidden="1" spans="1:42">
      <c r="A25" s="15">
        <v>110027</v>
      </c>
      <c r="B25" s="15" t="s">
        <v>107</v>
      </c>
      <c r="C25" s="15" t="s">
        <v>107</v>
      </c>
      <c r="D25" s="17" t="s">
        <v>95</v>
      </c>
      <c r="E25" s="1">
        <v>40</v>
      </c>
      <c r="F25" s="7">
        <v>-1</v>
      </c>
      <c r="G25" s="7">
        <v>0</v>
      </c>
      <c r="H25" s="7">
        <v>0</v>
      </c>
      <c r="I25" s="15" t="s">
        <v>43</v>
      </c>
      <c r="J25" s="7">
        <v>-1</v>
      </c>
      <c r="K25" s="7">
        <v>0</v>
      </c>
      <c r="L25" s="7">
        <v>0</v>
      </c>
      <c r="N25" s="24">
        <v>1</v>
      </c>
      <c r="O25" s="7">
        <v>1</v>
      </c>
      <c r="Q25" s="15" t="s">
        <v>107</v>
      </c>
      <c r="R25" s="15" t="s">
        <v>107</v>
      </c>
      <c r="S25" s="15">
        <v>24</v>
      </c>
      <c r="T25" s="7" t="str">
        <f t="shared" si="0"/>
        <v>长驱直入</v>
      </c>
      <c r="U25" s="7" t="str">
        <f t="shared" ref="U25:Z25" si="31">T25</f>
        <v>长驱直入</v>
      </c>
      <c r="V25" s="7" t="str">
        <f t="shared" si="31"/>
        <v>长驱直入</v>
      </c>
      <c r="W25" s="7" t="str">
        <f t="shared" si="31"/>
        <v>长驱直入</v>
      </c>
      <c r="X25" s="7" t="str">
        <f t="shared" si="31"/>
        <v>长驱直入</v>
      </c>
      <c r="Y25" s="7" t="str">
        <f t="shared" si="31"/>
        <v>长驱直入</v>
      </c>
      <c r="Z25" s="7" t="str">
        <f t="shared" si="31"/>
        <v>长驱直入</v>
      </c>
      <c r="AA25" s="15" t="s">
        <v>81</v>
      </c>
      <c r="AB25" s="7" t="str">
        <f t="shared" ref="AB25:AH25" si="32">AA25</f>
        <v>无</v>
      </c>
      <c r="AC25" s="7" t="str">
        <f t="shared" si="32"/>
        <v>无</v>
      </c>
      <c r="AD25" s="7" t="str">
        <f t="shared" si="32"/>
        <v>无</v>
      </c>
      <c r="AE25" s="7" t="str">
        <f t="shared" si="32"/>
        <v>无</v>
      </c>
      <c r="AF25" s="7" t="str">
        <f t="shared" si="32"/>
        <v>无</v>
      </c>
      <c r="AG25" s="7" t="str">
        <f t="shared" si="32"/>
        <v>无</v>
      </c>
      <c r="AH25" s="7" t="str">
        <f t="shared" si="32"/>
        <v>无</v>
      </c>
      <c r="AI25" s="15">
        <v>1</v>
      </c>
      <c r="AJ25" s="15">
        <v>2</v>
      </c>
      <c r="AK25" s="15">
        <v>3</v>
      </c>
      <c r="AL25" s="15">
        <v>4</v>
      </c>
      <c r="AM25" s="15">
        <v>5</v>
      </c>
      <c r="AN25" s="15">
        <v>6</v>
      </c>
      <c r="AO25" s="15">
        <v>7</v>
      </c>
      <c r="AP25" s="15"/>
    </row>
    <row r="26" s="7" customFormat="1" hidden="1" spans="1:42">
      <c r="A26" s="15">
        <v>110028</v>
      </c>
      <c r="B26" s="15" t="s">
        <v>108</v>
      </c>
      <c r="C26" s="15" t="s">
        <v>108</v>
      </c>
      <c r="D26" s="16" t="s">
        <v>97</v>
      </c>
      <c r="E26" s="1">
        <v>41</v>
      </c>
      <c r="F26" s="7">
        <v>-1</v>
      </c>
      <c r="G26" s="7">
        <v>0</v>
      </c>
      <c r="H26" s="7">
        <v>0</v>
      </c>
      <c r="I26" s="15" t="s">
        <v>43</v>
      </c>
      <c r="J26" s="7">
        <v>-1</v>
      </c>
      <c r="K26" s="7">
        <v>0</v>
      </c>
      <c r="L26" s="7">
        <v>0</v>
      </c>
      <c r="N26" s="24">
        <v>1</v>
      </c>
      <c r="O26" s="7">
        <v>1</v>
      </c>
      <c r="Q26" s="15" t="s">
        <v>108</v>
      </c>
      <c r="R26" s="15" t="s">
        <v>108</v>
      </c>
      <c r="S26" s="15">
        <v>25</v>
      </c>
      <c r="T26" s="7" t="str">
        <f t="shared" si="0"/>
        <v>静岳</v>
      </c>
      <c r="U26" s="7" t="str">
        <f t="shared" ref="U26:Z26" si="33">T26</f>
        <v>静岳</v>
      </c>
      <c r="V26" s="7" t="str">
        <f t="shared" si="33"/>
        <v>静岳</v>
      </c>
      <c r="W26" s="7" t="str">
        <f t="shared" si="33"/>
        <v>静岳</v>
      </c>
      <c r="X26" s="7" t="str">
        <f t="shared" si="33"/>
        <v>静岳</v>
      </c>
      <c r="Y26" s="7" t="str">
        <f t="shared" si="33"/>
        <v>静岳</v>
      </c>
      <c r="Z26" s="7" t="str">
        <f t="shared" si="33"/>
        <v>静岳</v>
      </c>
      <c r="AA26" s="15" t="s">
        <v>81</v>
      </c>
      <c r="AB26" s="7" t="str">
        <f t="shared" ref="AB26:AH26" si="34">AA26</f>
        <v>无</v>
      </c>
      <c r="AC26" s="7" t="str">
        <f t="shared" si="34"/>
        <v>无</v>
      </c>
      <c r="AD26" s="7" t="str">
        <f t="shared" si="34"/>
        <v>无</v>
      </c>
      <c r="AE26" s="7" t="str">
        <f t="shared" si="34"/>
        <v>无</v>
      </c>
      <c r="AF26" s="7" t="str">
        <f t="shared" si="34"/>
        <v>无</v>
      </c>
      <c r="AG26" s="7" t="str">
        <f t="shared" si="34"/>
        <v>无</v>
      </c>
      <c r="AH26" s="7" t="str">
        <f t="shared" si="34"/>
        <v>无</v>
      </c>
      <c r="AI26" s="15">
        <v>1</v>
      </c>
      <c r="AJ26" s="15">
        <v>2</v>
      </c>
      <c r="AK26" s="15">
        <v>3</v>
      </c>
      <c r="AL26" s="15">
        <v>4</v>
      </c>
      <c r="AM26" s="15">
        <v>5</v>
      </c>
      <c r="AN26" s="15">
        <v>6</v>
      </c>
      <c r="AO26" s="15">
        <v>7</v>
      </c>
      <c r="AP26" s="15"/>
    </row>
    <row r="27" s="7" customFormat="1" hidden="1" spans="1:42">
      <c r="A27" s="15">
        <v>110029</v>
      </c>
      <c r="B27" s="15" t="s">
        <v>109</v>
      </c>
      <c r="C27" s="15" t="s">
        <v>109</v>
      </c>
      <c r="D27" s="17" t="s">
        <v>89</v>
      </c>
      <c r="E27" s="1">
        <v>42</v>
      </c>
      <c r="F27" s="7">
        <v>-1</v>
      </c>
      <c r="G27" s="7">
        <v>0</v>
      </c>
      <c r="H27" s="7">
        <v>0</v>
      </c>
      <c r="I27" s="15" t="s">
        <v>43</v>
      </c>
      <c r="J27" s="7">
        <v>-1</v>
      </c>
      <c r="K27" s="7">
        <v>0</v>
      </c>
      <c r="L27" s="7">
        <v>0</v>
      </c>
      <c r="N27" s="24">
        <v>1</v>
      </c>
      <c r="O27" s="7">
        <v>1</v>
      </c>
      <c r="Q27" s="15" t="s">
        <v>109</v>
      </c>
      <c r="R27" s="15" t="s">
        <v>109</v>
      </c>
      <c r="S27" s="15">
        <v>26</v>
      </c>
      <c r="T27" s="7" t="str">
        <f t="shared" si="0"/>
        <v>神凝</v>
      </c>
      <c r="U27" s="7" t="str">
        <f t="shared" ref="U27:Z27" si="35">T27</f>
        <v>神凝</v>
      </c>
      <c r="V27" s="7" t="str">
        <f t="shared" si="35"/>
        <v>神凝</v>
      </c>
      <c r="W27" s="7" t="str">
        <f t="shared" si="35"/>
        <v>神凝</v>
      </c>
      <c r="X27" s="7" t="str">
        <f t="shared" si="35"/>
        <v>神凝</v>
      </c>
      <c r="Y27" s="7" t="str">
        <f t="shared" si="35"/>
        <v>神凝</v>
      </c>
      <c r="Z27" s="7" t="str">
        <f t="shared" si="35"/>
        <v>神凝</v>
      </c>
      <c r="AA27" s="15" t="s">
        <v>81</v>
      </c>
      <c r="AB27" s="7" t="str">
        <f t="shared" ref="AB27:AH27" si="36">AA27</f>
        <v>无</v>
      </c>
      <c r="AC27" s="7" t="str">
        <f t="shared" si="36"/>
        <v>无</v>
      </c>
      <c r="AD27" s="7" t="str">
        <f t="shared" si="36"/>
        <v>无</v>
      </c>
      <c r="AE27" s="7" t="str">
        <f t="shared" si="36"/>
        <v>无</v>
      </c>
      <c r="AF27" s="7" t="str">
        <f t="shared" si="36"/>
        <v>无</v>
      </c>
      <c r="AG27" s="7" t="str">
        <f t="shared" si="36"/>
        <v>无</v>
      </c>
      <c r="AH27" s="7" t="str">
        <f t="shared" si="36"/>
        <v>无</v>
      </c>
      <c r="AI27" s="15">
        <v>1</v>
      </c>
      <c r="AJ27" s="15">
        <v>2</v>
      </c>
      <c r="AK27" s="15">
        <v>3</v>
      </c>
      <c r="AL27" s="15">
        <v>4</v>
      </c>
      <c r="AM27" s="15">
        <v>5</v>
      </c>
      <c r="AN27" s="15">
        <v>6</v>
      </c>
      <c r="AO27" s="15">
        <v>7</v>
      </c>
      <c r="AP27" s="15"/>
    </row>
    <row r="28" s="7" customFormat="1" hidden="1" spans="1:42">
      <c r="A28" s="15">
        <v>110030</v>
      </c>
      <c r="B28" s="15" t="s">
        <v>110</v>
      </c>
      <c r="C28" s="15" t="s">
        <v>110</v>
      </c>
      <c r="D28" s="17" t="s">
        <v>103</v>
      </c>
      <c r="E28" s="1">
        <v>43</v>
      </c>
      <c r="F28" s="7">
        <v>-1</v>
      </c>
      <c r="G28" s="7">
        <v>0</v>
      </c>
      <c r="H28" s="7">
        <v>0</v>
      </c>
      <c r="I28" s="15" t="s">
        <v>43</v>
      </c>
      <c r="J28" s="7">
        <v>-1</v>
      </c>
      <c r="K28" s="7">
        <v>0</v>
      </c>
      <c r="L28" s="7">
        <v>0</v>
      </c>
      <c r="N28" s="24">
        <v>1</v>
      </c>
      <c r="O28" s="7">
        <v>1</v>
      </c>
      <c r="Q28" s="15" t="s">
        <v>110</v>
      </c>
      <c r="R28" s="15" t="s">
        <v>110</v>
      </c>
      <c r="S28" s="15">
        <v>27</v>
      </c>
      <c r="T28" s="7" t="str">
        <f t="shared" si="0"/>
        <v>突进</v>
      </c>
      <c r="U28" s="7" t="str">
        <f t="shared" ref="U28:Z28" si="37">T28</f>
        <v>突进</v>
      </c>
      <c r="V28" s="7" t="str">
        <f t="shared" si="37"/>
        <v>突进</v>
      </c>
      <c r="W28" s="7" t="str">
        <f t="shared" si="37"/>
        <v>突进</v>
      </c>
      <c r="X28" s="7" t="str">
        <f t="shared" si="37"/>
        <v>突进</v>
      </c>
      <c r="Y28" s="7" t="str">
        <f t="shared" si="37"/>
        <v>突进</v>
      </c>
      <c r="Z28" s="7" t="str">
        <f t="shared" si="37"/>
        <v>突进</v>
      </c>
      <c r="AA28" s="15" t="s">
        <v>81</v>
      </c>
      <c r="AB28" s="7" t="str">
        <f t="shared" ref="AB28:AH28" si="38">AA28</f>
        <v>无</v>
      </c>
      <c r="AC28" s="7" t="str">
        <f t="shared" si="38"/>
        <v>无</v>
      </c>
      <c r="AD28" s="7" t="str">
        <f t="shared" si="38"/>
        <v>无</v>
      </c>
      <c r="AE28" s="7" t="str">
        <f t="shared" si="38"/>
        <v>无</v>
      </c>
      <c r="AF28" s="7" t="str">
        <f t="shared" si="38"/>
        <v>无</v>
      </c>
      <c r="AG28" s="7" t="str">
        <f t="shared" si="38"/>
        <v>无</v>
      </c>
      <c r="AH28" s="7" t="str">
        <f t="shared" si="38"/>
        <v>无</v>
      </c>
      <c r="AI28" s="15">
        <v>1</v>
      </c>
      <c r="AJ28" s="15">
        <v>2</v>
      </c>
      <c r="AK28" s="15">
        <v>3</v>
      </c>
      <c r="AL28" s="15">
        <v>4</v>
      </c>
      <c r="AM28" s="15">
        <v>5</v>
      </c>
      <c r="AN28" s="15">
        <v>6</v>
      </c>
      <c r="AO28" s="15">
        <v>7</v>
      </c>
      <c r="AP28" s="15"/>
    </row>
    <row r="29" s="7" customFormat="1" hidden="1" spans="1:42">
      <c r="A29" s="15">
        <v>110031</v>
      </c>
      <c r="B29" s="15" t="s">
        <v>111</v>
      </c>
      <c r="C29" s="15" t="s">
        <v>111</v>
      </c>
      <c r="D29" s="17" t="s">
        <v>95</v>
      </c>
      <c r="E29" s="1">
        <v>44</v>
      </c>
      <c r="F29" s="7">
        <v>-1</v>
      </c>
      <c r="G29" s="7">
        <v>0</v>
      </c>
      <c r="H29" s="7">
        <v>0</v>
      </c>
      <c r="I29" s="15" t="s">
        <v>43</v>
      </c>
      <c r="J29" s="7">
        <v>-1</v>
      </c>
      <c r="K29" s="7">
        <v>0</v>
      </c>
      <c r="L29" s="7">
        <v>0</v>
      </c>
      <c r="N29" s="24">
        <v>1</v>
      </c>
      <c r="O29" s="7">
        <v>1</v>
      </c>
      <c r="Q29" s="15" t="s">
        <v>111</v>
      </c>
      <c r="R29" s="15" t="s">
        <v>111</v>
      </c>
      <c r="S29" s="15">
        <v>28</v>
      </c>
      <c r="T29" s="7" t="str">
        <f t="shared" si="0"/>
        <v>熟练</v>
      </c>
      <c r="U29" s="7" t="str">
        <f t="shared" ref="U29:Z29" si="39">T29</f>
        <v>熟练</v>
      </c>
      <c r="V29" s="7" t="str">
        <f t="shared" si="39"/>
        <v>熟练</v>
      </c>
      <c r="W29" s="7" t="str">
        <f t="shared" si="39"/>
        <v>熟练</v>
      </c>
      <c r="X29" s="7" t="str">
        <f t="shared" si="39"/>
        <v>熟练</v>
      </c>
      <c r="Y29" s="7" t="str">
        <f t="shared" si="39"/>
        <v>熟练</v>
      </c>
      <c r="Z29" s="7" t="str">
        <f t="shared" si="39"/>
        <v>熟练</v>
      </c>
      <c r="AA29" s="15" t="s">
        <v>81</v>
      </c>
      <c r="AB29" s="7" t="str">
        <f t="shared" ref="AB29:AH29" si="40">AA29</f>
        <v>无</v>
      </c>
      <c r="AC29" s="7" t="str">
        <f t="shared" si="40"/>
        <v>无</v>
      </c>
      <c r="AD29" s="7" t="str">
        <f t="shared" si="40"/>
        <v>无</v>
      </c>
      <c r="AE29" s="7" t="str">
        <f t="shared" si="40"/>
        <v>无</v>
      </c>
      <c r="AF29" s="7" t="str">
        <f t="shared" si="40"/>
        <v>无</v>
      </c>
      <c r="AG29" s="7" t="str">
        <f t="shared" si="40"/>
        <v>无</v>
      </c>
      <c r="AH29" s="7" t="str">
        <f t="shared" si="40"/>
        <v>无</v>
      </c>
      <c r="AI29" s="15">
        <v>1</v>
      </c>
      <c r="AJ29" s="15">
        <v>2</v>
      </c>
      <c r="AK29" s="15">
        <v>3</v>
      </c>
      <c r="AL29" s="15">
        <v>4</v>
      </c>
      <c r="AM29" s="15">
        <v>5</v>
      </c>
      <c r="AN29" s="15">
        <v>6</v>
      </c>
      <c r="AO29" s="15">
        <v>7</v>
      </c>
      <c r="AP29" s="15"/>
    </row>
    <row r="30" s="7" customFormat="1" hidden="1" spans="1:42">
      <c r="A30" s="15">
        <v>110032</v>
      </c>
      <c r="B30" s="15" t="s">
        <v>112</v>
      </c>
      <c r="C30" s="15" t="s">
        <v>112</v>
      </c>
      <c r="D30" s="20" t="s">
        <v>113</v>
      </c>
      <c r="E30" s="1">
        <v>45</v>
      </c>
      <c r="F30" s="7">
        <v>-1</v>
      </c>
      <c r="G30" s="7">
        <v>0</v>
      </c>
      <c r="H30" s="7">
        <v>0</v>
      </c>
      <c r="I30" s="15" t="s">
        <v>43</v>
      </c>
      <c r="J30" s="7">
        <v>-1</v>
      </c>
      <c r="K30" s="7">
        <v>0</v>
      </c>
      <c r="L30" s="7">
        <v>0</v>
      </c>
      <c r="N30" s="24">
        <v>1</v>
      </c>
      <c r="O30" s="7">
        <v>1</v>
      </c>
      <c r="Q30" s="15" t="s">
        <v>112</v>
      </c>
      <c r="R30" s="15" t="s">
        <v>112</v>
      </c>
      <c r="S30" s="15">
        <v>29</v>
      </c>
      <c r="T30" s="7" t="str">
        <f t="shared" si="0"/>
        <v>无双战神</v>
      </c>
      <c r="U30" s="7" t="str">
        <f t="shared" ref="U30:Z30" si="41">T30</f>
        <v>无双战神</v>
      </c>
      <c r="V30" s="7" t="str">
        <f t="shared" si="41"/>
        <v>无双战神</v>
      </c>
      <c r="W30" s="7" t="str">
        <f t="shared" si="41"/>
        <v>无双战神</v>
      </c>
      <c r="X30" s="7" t="str">
        <f t="shared" si="41"/>
        <v>无双战神</v>
      </c>
      <c r="Y30" s="7" t="str">
        <f t="shared" si="41"/>
        <v>无双战神</v>
      </c>
      <c r="Z30" s="7" t="str">
        <f t="shared" si="41"/>
        <v>无双战神</v>
      </c>
      <c r="AA30" s="15" t="s">
        <v>81</v>
      </c>
      <c r="AB30" s="7" t="str">
        <f t="shared" ref="AB30:AH30" si="42">AA30</f>
        <v>无</v>
      </c>
      <c r="AC30" s="7" t="str">
        <f t="shared" si="42"/>
        <v>无</v>
      </c>
      <c r="AD30" s="7" t="str">
        <f t="shared" si="42"/>
        <v>无</v>
      </c>
      <c r="AE30" s="7" t="str">
        <f t="shared" si="42"/>
        <v>无</v>
      </c>
      <c r="AF30" s="7" t="str">
        <f t="shared" si="42"/>
        <v>无</v>
      </c>
      <c r="AG30" s="7" t="str">
        <f t="shared" si="42"/>
        <v>无</v>
      </c>
      <c r="AH30" s="7" t="str">
        <f t="shared" si="42"/>
        <v>无</v>
      </c>
      <c r="AI30" s="15">
        <v>1</v>
      </c>
      <c r="AJ30" s="15">
        <v>2</v>
      </c>
      <c r="AK30" s="15">
        <v>3</v>
      </c>
      <c r="AL30" s="15">
        <v>4</v>
      </c>
      <c r="AM30" s="15">
        <v>5</v>
      </c>
      <c r="AN30" s="15">
        <v>6</v>
      </c>
      <c r="AO30" s="15">
        <v>7</v>
      </c>
      <c r="AP30" s="15"/>
    </row>
    <row r="31" s="8" customFormat="1" spans="1:42">
      <c r="A31" s="21">
        <v>120000</v>
      </c>
      <c r="B31" s="22" t="s">
        <v>114</v>
      </c>
      <c r="C31" s="22" t="s">
        <v>114</v>
      </c>
      <c r="D31" s="23" t="s">
        <v>115</v>
      </c>
      <c r="E31" s="8">
        <v>25</v>
      </c>
      <c r="F31" s="8">
        <v>-1</v>
      </c>
      <c r="G31" s="8">
        <v>0</v>
      </c>
      <c r="H31" s="8">
        <v>0</v>
      </c>
      <c r="I31" s="25" t="s">
        <v>43</v>
      </c>
      <c r="J31" s="8">
        <v>-1</v>
      </c>
      <c r="K31" s="8">
        <v>0</v>
      </c>
      <c r="L31" s="8">
        <v>0</v>
      </c>
      <c r="N31" s="26">
        <v>1</v>
      </c>
      <c r="O31" s="8">
        <v>1</v>
      </c>
      <c r="Q31" s="23" t="s">
        <v>115</v>
      </c>
      <c r="R31" s="23" t="s">
        <v>116</v>
      </c>
      <c r="S31" s="25">
        <v>1</v>
      </c>
      <c r="T31" s="23" t="s">
        <v>116</v>
      </c>
      <c r="U31" s="23" t="s">
        <v>116</v>
      </c>
      <c r="V31" s="23" t="s">
        <v>116</v>
      </c>
      <c r="W31" s="23" t="s">
        <v>116</v>
      </c>
      <c r="X31" s="23" t="s">
        <v>116</v>
      </c>
      <c r="Y31" s="23" t="s">
        <v>116</v>
      </c>
      <c r="Z31" s="23" t="s">
        <v>116</v>
      </c>
      <c r="AA31" s="23" t="s">
        <v>117</v>
      </c>
      <c r="AB31" s="23" t="s">
        <v>117</v>
      </c>
      <c r="AC31" s="23" t="s">
        <v>117</v>
      </c>
      <c r="AD31" s="23" t="s">
        <v>117</v>
      </c>
      <c r="AE31" s="23" t="s">
        <v>117</v>
      </c>
      <c r="AF31" s="23" t="s">
        <v>117</v>
      </c>
      <c r="AG31" s="23" t="s">
        <v>117</v>
      </c>
      <c r="AH31" s="23" t="s">
        <v>117</v>
      </c>
      <c r="AI31" s="8">
        <v>1</v>
      </c>
      <c r="AJ31" s="8">
        <v>200</v>
      </c>
      <c r="AK31" s="8">
        <v>200</v>
      </c>
      <c r="AL31" s="8">
        <v>200</v>
      </c>
      <c r="AM31" s="8">
        <v>200</v>
      </c>
      <c r="AN31" s="8">
        <v>200</v>
      </c>
      <c r="AO31" s="8">
        <v>200</v>
      </c>
      <c r="AP31" s="25"/>
    </row>
    <row r="32" s="8" customFormat="1" spans="1:42">
      <c r="A32" s="21">
        <v>120001</v>
      </c>
      <c r="B32" s="22" t="s">
        <v>118</v>
      </c>
      <c r="C32" s="22" t="s">
        <v>118</v>
      </c>
      <c r="D32" s="23" t="s">
        <v>119</v>
      </c>
      <c r="E32" s="8">
        <v>26</v>
      </c>
      <c r="F32" s="8">
        <v>100</v>
      </c>
      <c r="G32" s="8">
        <v>1.4</v>
      </c>
      <c r="H32" s="8">
        <v>10</v>
      </c>
      <c r="I32" s="25" t="s">
        <v>49</v>
      </c>
      <c r="J32" s="8">
        <v>-1</v>
      </c>
      <c r="K32" s="8">
        <v>0</v>
      </c>
      <c r="L32" s="8">
        <v>0</v>
      </c>
      <c r="N32" s="26">
        <v>480</v>
      </c>
      <c r="O32" s="8">
        <v>1</v>
      </c>
      <c r="Q32" s="23" t="s">
        <v>119</v>
      </c>
      <c r="R32" s="23" t="s">
        <v>120</v>
      </c>
      <c r="S32" s="25">
        <v>2</v>
      </c>
      <c r="T32" s="23" t="s">
        <v>120</v>
      </c>
      <c r="U32" s="23" t="s">
        <v>120</v>
      </c>
      <c r="V32" s="23" t="s">
        <v>120</v>
      </c>
      <c r="W32" s="23" t="s">
        <v>120</v>
      </c>
      <c r="X32" s="23" t="s">
        <v>120</v>
      </c>
      <c r="Y32" s="23" t="s">
        <v>120</v>
      </c>
      <c r="Z32" s="23" t="s">
        <v>120</v>
      </c>
      <c r="AA32" s="4" t="s">
        <v>121</v>
      </c>
      <c r="AB32" s="4" t="s">
        <v>122</v>
      </c>
      <c r="AC32" s="4" t="s">
        <v>122</v>
      </c>
      <c r="AD32" s="4" t="s">
        <v>122</v>
      </c>
      <c r="AE32" s="4" t="s">
        <v>122</v>
      </c>
      <c r="AF32" s="4" t="s">
        <v>122</v>
      </c>
      <c r="AG32" s="4" t="s">
        <v>122</v>
      </c>
      <c r="AH32" s="4" t="s">
        <v>122</v>
      </c>
      <c r="AI32" s="8">
        <v>1</v>
      </c>
      <c r="AJ32" s="8">
        <v>60</v>
      </c>
      <c r="AK32" s="8">
        <v>70</v>
      </c>
      <c r="AL32" s="8">
        <v>90</v>
      </c>
      <c r="AM32" s="8">
        <v>200</v>
      </c>
      <c r="AN32" s="8">
        <v>200</v>
      </c>
      <c r="AO32" s="8">
        <v>200</v>
      </c>
      <c r="AP32" s="25"/>
    </row>
    <row r="33" s="8" customFormat="1" spans="1:42">
      <c r="A33" s="21">
        <v>120002</v>
      </c>
      <c r="B33" s="22" t="s">
        <v>123</v>
      </c>
      <c r="C33" s="22" t="s">
        <v>123</v>
      </c>
      <c r="D33" s="23" t="s">
        <v>124</v>
      </c>
      <c r="E33" s="8">
        <v>27</v>
      </c>
      <c r="F33" s="8">
        <v>100</v>
      </c>
      <c r="G33" s="8">
        <v>1.4</v>
      </c>
      <c r="H33" s="8">
        <v>10</v>
      </c>
      <c r="I33" s="25" t="s">
        <v>49</v>
      </c>
      <c r="J33" s="8">
        <v>-1</v>
      </c>
      <c r="K33" s="8">
        <v>0</v>
      </c>
      <c r="L33" s="8">
        <v>0</v>
      </c>
      <c r="N33" s="26">
        <v>480</v>
      </c>
      <c r="O33" s="8">
        <v>1</v>
      </c>
      <c r="Q33" s="23" t="s">
        <v>124</v>
      </c>
      <c r="R33" s="27" t="s">
        <v>125</v>
      </c>
      <c r="S33" s="25">
        <v>4</v>
      </c>
      <c r="T33" s="23" t="s">
        <v>125</v>
      </c>
      <c r="U33" s="23" t="s">
        <v>125</v>
      </c>
      <c r="V33" s="23" t="s">
        <v>125</v>
      </c>
      <c r="W33" s="23" t="s">
        <v>125</v>
      </c>
      <c r="X33" s="23" t="s">
        <v>125</v>
      </c>
      <c r="Y33" s="23" t="s">
        <v>125</v>
      </c>
      <c r="Z33" s="23" t="s">
        <v>126</v>
      </c>
      <c r="AA33" s="23" t="s">
        <v>127</v>
      </c>
      <c r="AB33" s="23" t="s">
        <v>127</v>
      </c>
      <c r="AC33" s="23" t="s">
        <v>127</v>
      </c>
      <c r="AD33" s="23" t="s">
        <v>127</v>
      </c>
      <c r="AE33" s="23" t="s">
        <v>127</v>
      </c>
      <c r="AF33" s="23" t="s">
        <v>127</v>
      </c>
      <c r="AG33" s="23" t="s">
        <v>127</v>
      </c>
      <c r="AH33" s="23" t="s">
        <v>127</v>
      </c>
      <c r="AI33" s="8">
        <v>1</v>
      </c>
      <c r="AJ33" s="8">
        <v>60</v>
      </c>
      <c r="AK33" s="8">
        <v>200</v>
      </c>
      <c r="AL33" s="8">
        <v>200</v>
      </c>
      <c r="AM33" s="8">
        <v>200</v>
      </c>
      <c r="AN33" s="8">
        <v>200</v>
      </c>
      <c r="AO33" s="8">
        <v>200</v>
      </c>
      <c r="AP33" s="25"/>
    </row>
    <row r="34" s="8" customFormat="1" spans="1:42">
      <c r="A34" s="21">
        <v>120003</v>
      </c>
      <c r="B34" s="22" t="s">
        <v>128</v>
      </c>
      <c r="C34" s="22" t="s">
        <v>128</v>
      </c>
      <c r="D34" s="23" t="s">
        <v>129</v>
      </c>
      <c r="E34" s="8">
        <v>28</v>
      </c>
      <c r="F34" s="8">
        <v>100</v>
      </c>
      <c r="G34" s="8">
        <v>1.4</v>
      </c>
      <c r="H34" s="8">
        <v>10</v>
      </c>
      <c r="I34" s="25" t="s">
        <v>49</v>
      </c>
      <c r="J34" s="8">
        <v>-1</v>
      </c>
      <c r="K34" s="8">
        <v>0</v>
      </c>
      <c r="L34" s="8">
        <v>0</v>
      </c>
      <c r="N34" s="26">
        <v>480</v>
      </c>
      <c r="O34" s="8">
        <v>1</v>
      </c>
      <c r="Q34" s="23" t="s">
        <v>129</v>
      </c>
      <c r="R34" s="23" t="s">
        <v>130</v>
      </c>
      <c r="S34" s="25">
        <v>6</v>
      </c>
      <c r="T34" s="23" t="s">
        <v>130</v>
      </c>
      <c r="U34" s="23" t="s">
        <v>130</v>
      </c>
      <c r="V34" s="23" t="s">
        <v>130</v>
      </c>
      <c r="W34" s="23" t="s">
        <v>130</v>
      </c>
      <c r="X34" s="23" t="s">
        <v>130</v>
      </c>
      <c r="Y34" s="23" t="s">
        <v>130</v>
      </c>
      <c r="Z34" s="23" t="s">
        <v>130</v>
      </c>
      <c r="AA34" s="23" t="s">
        <v>131</v>
      </c>
      <c r="AB34" s="23" t="s">
        <v>131</v>
      </c>
      <c r="AC34" s="23" t="s">
        <v>131</v>
      </c>
      <c r="AD34" s="23" t="s">
        <v>131</v>
      </c>
      <c r="AE34" s="23" t="s">
        <v>131</v>
      </c>
      <c r="AF34" s="23" t="s">
        <v>131</v>
      </c>
      <c r="AG34" s="23" t="s">
        <v>131</v>
      </c>
      <c r="AH34" s="23" t="s">
        <v>131</v>
      </c>
      <c r="AI34" s="8">
        <v>1</v>
      </c>
      <c r="AJ34" s="8">
        <v>200</v>
      </c>
      <c r="AK34" s="8">
        <v>200</v>
      </c>
      <c r="AL34" s="8">
        <v>200</v>
      </c>
      <c r="AM34" s="8">
        <v>200</v>
      </c>
      <c r="AN34" s="8">
        <v>200</v>
      </c>
      <c r="AO34" s="8">
        <v>200</v>
      </c>
      <c r="AP34" s="25"/>
    </row>
    <row r="35" s="8" customFormat="1" spans="1:42">
      <c r="A35" s="21">
        <v>120004</v>
      </c>
      <c r="B35" s="22" t="s">
        <v>132</v>
      </c>
      <c r="C35" s="22" t="s">
        <v>132</v>
      </c>
      <c r="D35" s="23" t="s">
        <v>133</v>
      </c>
      <c r="E35" s="8">
        <v>29</v>
      </c>
      <c r="F35" s="8">
        <v>100</v>
      </c>
      <c r="G35" s="8">
        <v>1.4</v>
      </c>
      <c r="H35" s="8">
        <v>10</v>
      </c>
      <c r="I35" s="25" t="s">
        <v>49</v>
      </c>
      <c r="J35" s="8">
        <v>-1</v>
      </c>
      <c r="K35" s="8">
        <v>0</v>
      </c>
      <c r="L35" s="8">
        <v>0</v>
      </c>
      <c r="N35" s="26">
        <v>480</v>
      </c>
      <c r="O35" s="8">
        <v>1</v>
      </c>
      <c r="Q35" s="23" t="s">
        <v>133</v>
      </c>
      <c r="R35" s="23" t="s">
        <v>134</v>
      </c>
      <c r="S35" s="25">
        <v>5</v>
      </c>
      <c r="T35" s="23" t="s">
        <v>134</v>
      </c>
      <c r="U35" s="23" t="s">
        <v>134</v>
      </c>
      <c r="V35" s="23" t="s">
        <v>134</v>
      </c>
      <c r="W35" s="23" t="s">
        <v>134</v>
      </c>
      <c r="X35" s="23" t="s">
        <v>134</v>
      </c>
      <c r="Y35" s="23" t="s">
        <v>134</v>
      </c>
      <c r="Z35" s="23" t="s">
        <v>134</v>
      </c>
      <c r="AA35" s="23" t="s">
        <v>135</v>
      </c>
      <c r="AB35" s="23" t="s">
        <v>135</v>
      </c>
      <c r="AC35" s="23" t="s">
        <v>135</v>
      </c>
      <c r="AD35" s="23" t="s">
        <v>135</v>
      </c>
      <c r="AE35" s="23" t="s">
        <v>135</v>
      </c>
      <c r="AF35" s="23" t="s">
        <v>135</v>
      </c>
      <c r="AG35" s="23" t="s">
        <v>135</v>
      </c>
      <c r="AH35" s="23" t="s">
        <v>135</v>
      </c>
      <c r="AI35" s="8">
        <v>1</v>
      </c>
      <c r="AJ35" s="8">
        <v>200</v>
      </c>
      <c r="AK35" s="8">
        <v>200</v>
      </c>
      <c r="AL35" s="8">
        <v>200</v>
      </c>
      <c r="AM35" s="8">
        <v>200</v>
      </c>
      <c r="AN35" s="8">
        <v>200</v>
      </c>
      <c r="AO35" s="8">
        <v>200</v>
      </c>
      <c r="AP35" s="25"/>
    </row>
    <row r="36" s="8" customFormat="1" spans="1:42">
      <c r="A36" s="21">
        <v>120005</v>
      </c>
      <c r="B36" s="22" t="s">
        <v>136</v>
      </c>
      <c r="C36" s="22" t="s">
        <v>136</v>
      </c>
      <c r="D36" s="23" t="s">
        <v>137</v>
      </c>
      <c r="E36" s="8">
        <v>30</v>
      </c>
      <c r="F36" s="8">
        <v>100</v>
      </c>
      <c r="G36" s="8">
        <v>1.4</v>
      </c>
      <c r="H36" s="8">
        <v>10</v>
      </c>
      <c r="I36" s="25" t="s">
        <v>49</v>
      </c>
      <c r="J36" s="8">
        <v>-1</v>
      </c>
      <c r="K36" s="8">
        <v>0</v>
      </c>
      <c r="L36" s="8">
        <v>0</v>
      </c>
      <c r="N36" s="26">
        <v>480</v>
      </c>
      <c r="O36" s="8">
        <v>1</v>
      </c>
      <c r="Q36" s="23" t="s">
        <v>138</v>
      </c>
      <c r="R36" s="23" t="s">
        <v>139</v>
      </c>
      <c r="S36" s="25">
        <v>3</v>
      </c>
      <c r="T36" s="23" t="s">
        <v>139</v>
      </c>
      <c r="U36" s="23" t="s">
        <v>139</v>
      </c>
      <c r="V36" s="23" t="s">
        <v>139</v>
      </c>
      <c r="W36" s="23" t="s">
        <v>139</v>
      </c>
      <c r="X36" s="23" t="s">
        <v>139</v>
      </c>
      <c r="Y36" s="23" t="s">
        <v>139</v>
      </c>
      <c r="Z36" s="23" t="s">
        <v>139</v>
      </c>
      <c r="AA36" s="23" t="s">
        <v>140</v>
      </c>
      <c r="AB36" s="23" t="s">
        <v>140</v>
      </c>
      <c r="AC36" s="23" t="s">
        <v>140</v>
      </c>
      <c r="AD36" s="23" t="s">
        <v>140</v>
      </c>
      <c r="AE36" s="23" t="s">
        <v>140</v>
      </c>
      <c r="AF36" s="23" t="s">
        <v>140</v>
      </c>
      <c r="AG36" s="23" t="s">
        <v>140</v>
      </c>
      <c r="AH36" s="23" t="s">
        <v>140</v>
      </c>
      <c r="AI36" s="8">
        <v>1</v>
      </c>
      <c r="AJ36" s="8">
        <v>60</v>
      </c>
      <c r="AK36" s="8">
        <v>200</v>
      </c>
      <c r="AL36" s="8">
        <v>200</v>
      </c>
      <c r="AM36" s="8">
        <v>200</v>
      </c>
      <c r="AN36" s="8">
        <v>200</v>
      </c>
      <c r="AO36" s="8">
        <v>200</v>
      </c>
      <c r="AP36" s="25"/>
    </row>
    <row r="37" s="8" customFormat="1" spans="1:42">
      <c r="A37" s="21">
        <v>120006</v>
      </c>
      <c r="B37" s="22" t="s">
        <v>141</v>
      </c>
      <c r="C37" s="22" t="s">
        <v>141</v>
      </c>
      <c r="D37" s="23" t="s">
        <v>142</v>
      </c>
      <c r="E37" s="8">
        <v>31</v>
      </c>
      <c r="F37" s="8">
        <v>-1</v>
      </c>
      <c r="G37" s="8">
        <v>0.667</v>
      </c>
      <c r="H37" s="8">
        <v>6</v>
      </c>
      <c r="I37" s="25" t="s">
        <v>71</v>
      </c>
      <c r="J37" s="8">
        <v>-1</v>
      </c>
      <c r="K37" s="8">
        <v>0</v>
      </c>
      <c r="L37" s="8">
        <v>0</v>
      </c>
      <c r="N37" s="26">
        <v>1</v>
      </c>
      <c r="O37" s="8">
        <v>1</v>
      </c>
      <c r="Q37" s="23" t="s">
        <v>142</v>
      </c>
      <c r="R37" s="23" t="s">
        <v>143</v>
      </c>
      <c r="S37" s="25">
        <v>7</v>
      </c>
      <c r="T37" s="23" t="s">
        <v>143</v>
      </c>
      <c r="U37" s="23" t="s">
        <v>143</v>
      </c>
      <c r="V37" s="23" t="s">
        <v>143</v>
      </c>
      <c r="W37" s="23" t="s">
        <v>143</v>
      </c>
      <c r="X37" s="23" t="s">
        <v>143</v>
      </c>
      <c r="Y37" s="23" t="s">
        <v>143</v>
      </c>
      <c r="Z37" s="23" t="s">
        <v>143</v>
      </c>
      <c r="AA37" s="23" t="s">
        <v>144</v>
      </c>
      <c r="AB37" s="23" t="s">
        <v>144</v>
      </c>
      <c r="AC37" s="23" t="s">
        <v>144</v>
      </c>
      <c r="AD37" s="23" t="s">
        <v>144</v>
      </c>
      <c r="AE37" s="23" t="s">
        <v>144</v>
      </c>
      <c r="AF37" s="23" t="s">
        <v>144</v>
      </c>
      <c r="AG37" s="23" t="s">
        <v>144</v>
      </c>
      <c r="AH37" s="23" t="s">
        <v>144</v>
      </c>
      <c r="AI37" s="8">
        <v>1</v>
      </c>
      <c r="AJ37" s="8">
        <v>200</v>
      </c>
      <c r="AK37" s="8">
        <v>200</v>
      </c>
      <c r="AL37" s="8">
        <v>200</v>
      </c>
      <c r="AM37" s="8">
        <v>200</v>
      </c>
      <c r="AN37" s="8">
        <v>200</v>
      </c>
      <c r="AO37" s="8">
        <v>200</v>
      </c>
      <c r="AP37" s="25"/>
    </row>
    <row r="38" s="8" customFormat="1" spans="1:42">
      <c r="A38" s="21">
        <v>120007</v>
      </c>
      <c r="B38" s="22" t="s">
        <v>145</v>
      </c>
      <c r="C38" s="22" t="s">
        <v>145</v>
      </c>
      <c r="D38" s="23" t="s">
        <v>146</v>
      </c>
      <c r="E38" s="8">
        <v>32</v>
      </c>
      <c r="F38" s="8">
        <v>120</v>
      </c>
      <c r="G38" s="8">
        <v>0</v>
      </c>
      <c r="H38" s="8">
        <v>120</v>
      </c>
      <c r="I38" s="25" t="s">
        <v>76</v>
      </c>
      <c r="J38" s="8">
        <v>-1</v>
      </c>
      <c r="K38" s="8">
        <v>0</v>
      </c>
      <c r="L38" s="8">
        <v>0</v>
      </c>
      <c r="N38" s="26">
        <v>480</v>
      </c>
      <c r="O38" s="8">
        <v>1</v>
      </c>
      <c r="Q38" s="23" t="s">
        <v>146</v>
      </c>
      <c r="R38" s="23" t="s">
        <v>147</v>
      </c>
      <c r="S38" s="25">
        <v>8</v>
      </c>
      <c r="T38" s="23" t="s">
        <v>147</v>
      </c>
      <c r="U38" s="23" t="s">
        <v>147</v>
      </c>
      <c r="V38" s="23" t="s">
        <v>147</v>
      </c>
      <c r="W38" s="23" t="s">
        <v>147</v>
      </c>
      <c r="X38" s="23" t="s">
        <v>147</v>
      </c>
      <c r="Y38" s="23" t="s">
        <v>147</v>
      </c>
      <c r="Z38" s="23" t="s">
        <v>147</v>
      </c>
      <c r="AA38" s="23" t="s">
        <v>127</v>
      </c>
      <c r="AB38" s="23" t="s">
        <v>127</v>
      </c>
      <c r="AC38" s="23" t="s">
        <v>127</v>
      </c>
      <c r="AD38" s="23" t="s">
        <v>127</v>
      </c>
      <c r="AE38" s="23" t="s">
        <v>127</v>
      </c>
      <c r="AF38" s="23" t="s">
        <v>127</v>
      </c>
      <c r="AG38" s="23" t="s">
        <v>127</v>
      </c>
      <c r="AH38" s="23" t="s">
        <v>127</v>
      </c>
      <c r="AI38" s="8">
        <v>1</v>
      </c>
      <c r="AJ38" s="8">
        <v>2</v>
      </c>
      <c r="AK38" s="8">
        <v>3</v>
      </c>
      <c r="AL38" s="8">
        <v>4</v>
      </c>
      <c r="AM38" s="8">
        <v>5</v>
      </c>
      <c r="AN38" s="8">
        <v>6</v>
      </c>
      <c r="AO38" s="8">
        <v>7</v>
      </c>
      <c r="AP38" s="25"/>
    </row>
    <row r="39" s="7" customFormat="1" hidden="1" spans="1:42">
      <c r="A39" s="15">
        <v>120012</v>
      </c>
      <c r="B39" s="15" t="s">
        <v>148</v>
      </c>
      <c r="C39" s="15" t="s">
        <v>148</v>
      </c>
      <c r="D39" s="16" t="s">
        <v>80</v>
      </c>
      <c r="E39" s="7">
        <v>2381</v>
      </c>
      <c r="F39" s="7">
        <v>-1</v>
      </c>
      <c r="G39" s="7">
        <v>0</v>
      </c>
      <c r="H39" s="7">
        <v>0</v>
      </c>
      <c r="I39" s="15" t="s">
        <v>43</v>
      </c>
      <c r="J39" s="7">
        <v>-1</v>
      </c>
      <c r="K39" s="7">
        <v>0</v>
      </c>
      <c r="L39" s="7">
        <v>0</v>
      </c>
      <c r="N39" s="24">
        <v>1</v>
      </c>
      <c r="O39" s="7">
        <v>1</v>
      </c>
      <c r="Q39" s="7" t="s">
        <v>149</v>
      </c>
      <c r="R39" s="7" t="s">
        <v>149</v>
      </c>
      <c r="S39" s="15">
        <v>9</v>
      </c>
      <c r="T39" s="7" t="str">
        <f t="shared" ref="T39:T59" si="43">B39</f>
        <v>雷动</v>
      </c>
      <c r="U39" s="7" t="str">
        <f t="shared" ref="U39:Z39" si="44">T39</f>
        <v>雷动</v>
      </c>
      <c r="V39" s="7" t="str">
        <f t="shared" si="44"/>
        <v>雷动</v>
      </c>
      <c r="W39" s="7" t="str">
        <f t="shared" si="44"/>
        <v>雷动</v>
      </c>
      <c r="X39" s="7" t="str">
        <f t="shared" si="44"/>
        <v>雷动</v>
      </c>
      <c r="Y39" s="7" t="str">
        <f t="shared" si="44"/>
        <v>雷动</v>
      </c>
      <c r="Z39" s="7" t="str">
        <f t="shared" si="44"/>
        <v>雷动</v>
      </c>
      <c r="AA39" s="7" t="s">
        <v>81</v>
      </c>
      <c r="AB39" s="7" t="str">
        <f t="shared" ref="AB39:AH39" si="45">AA39</f>
        <v>无</v>
      </c>
      <c r="AC39" s="7" t="str">
        <f t="shared" si="45"/>
        <v>无</v>
      </c>
      <c r="AD39" s="7" t="str">
        <f t="shared" si="45"/>
        <v>无</v>
      </c>
      <c r="AE39" s="7" t="str">
        <f t="shared" si="45"/>
        <v>无</v>
      </c>
      <c r="AF39" s="7" t="str">
        <f t="shared" si="45"/>
        <v>无</v>
      </c>
      <c r="AG39" s="7" t="str">
        <f t="shared" si="45"/>
        <v>无</v>
      </c>
      <c r="AH39" s="7" t="str">
        <f t="shared" si="45"/>
        <v>无</v>
      </c>
      <c r="AI39" s="15">
        <v>1</v>
      </c>
      <c r="AJ39" s="15">
        <v>2</v>
      </c>
      <c r="AK39" s="15">
        <v>3</v>
      </c>
      <c r="AL39" s="15">
        <v>4</v>
      </c>
      <c r="AM39" s="15">
        <v>5</v>
      </c>
      <c r="AN39" s="15">
        <v>6</v>
      </c>
      <c r="AO39" s="15">
        <v>7</v>
      </c>
      <c r="AP39" s="15"/>
    </row>
    <row r="40" s="7" customFormat="1" hidden="1" spans="1:42">
      <c r="A40" s="15">
        <v>120013</v>
      </c>
      <c r="B40" s="15" t="s">
        <v>150</v>
      </c>
      <c r="C40" s="15" t="s">
        <v>150</v>
      </c>
      <c r="D40" s="16" t="s">
        <v>83</v>
      </c>
      <c r="E40" s="7">
        <v>2382</v>
      </c>
      <c r="F40" s="7">
        <v>-1</v>
      </c>
      <c r="G40" s="7">
        <v>0</v>
      </c>
      <c r="H40" s="7">
        <v>0</v>
      </c>
      <c r="I40" s="15" t="s">
        <v>43</v>
      </c>
      <c r="J40" s="7">
        <v>-1</v>
      </c>
      <c r="K40" s="7">
        <v>0</v>
      </c>
      <c r="L40" s="7">
        <v>0</v>
      </c>
      <c r="N40" s="24">
        <v>1</v>
      </c>
      <c r="O40" s="7">
        <v>1</v>
      </c>
      <c r="Q40" s="7" t="s">
        <v>149</v>
      </c>
      <c r="R40" s="7" t="s">
        <v>149</v>
      </c>
      <c r="S40" s="15">
        <v>10</v>
      </c>
      <c r="T40" s="7" t="str">
        <f t="shared" si="43"/>
        <v>黄粱</v>
      </c>
      <c r="U40" s="7" t="str">
        <f t="shared" ref="U40:Z40" si="46">T40</f>
        <v>黄粱</v>
      </c>
      <c r="V40" s="7" t="str">
        <f t="shared" si="46"/>
        <v>黄粱</v>
      </c>
      <c r="W40" s="7" t="str">
        <f t="shared" si="46"/>
        <v>黄粱</v>
      </c>
      <c r="X40" s="7" t="str">
        <f t="shared" si="46"/>
        <v>黄粱</v>
      </c>
      <c r="Y40" s="7" t="str">
        <f t="shared" si="46"/>
        <v>黄粱</v>
      </c>
      <c r="Z40" s="7" t="str">
        <f t="shared" si="46"/>
        <v>黄粱</v>
      </c>
      <c r="AA40" s="7" t="s">
        <v>81</v>
      </c>
      <c r="AB40" s="7" t="str">
        <f t="shared" ref="AB40:AH40" si="47">AA40</f>
        <v>无</v>
      </c>
      <c r="AC40" s="7" t="str">
        <f t="shared" si="47"/>
        <v>无</v>
      </c>
      <c r="AD40" s="7" t="str">
        <f t="shared" si="47"/>
        <v>无</v>
      </c>
      <c r="AE40" s="7" t="str">
        <f t="shared" si="47"/>
        <v>无</v>
      </c>
      <c r="AF40" s="7" t="str">
        <f t="shared" si="47"/>
        <v>无</v>
      </c>
      <c r="AG40" s="7" t="str">
        <f t="shared" si="47"/>
        <v>无</v>
      </c>
      <c r="AH40" s="7" t="str">
        <f t="shared" si="47"/>
        <v>无</v>
      </c>
      <c r="AI40" s="15">
        <v>1</v>
      </c>
      <c r="AJ40" s="15">
        <v>2</v>
      </c>
      <c r="AK40" s="15">
        <v>3</v>
      </c>
      <c r="AL40" s="15">
        <v>4</v>
      </c>
      <c r="AM40" s="15">
        <v>5</v>
      </c>
      <c r="AN40" s="15">
        <v>6</v>
      </c>
      <c r="AO40" s="15">
        <v>7</v>
      </c>
      <c r="AP40" s="15"/>
    </row>
    <row r="41" s="7" customFormat="1" hidden="1" spans="1:42">
      <c r="A41" s="15">
        <v>120014</v>
      </c>
      <c r="B41" s="15" t="s">
        <v>151</v>
      </c>
      <c r="C41" s="15" t="s">
        <v>151</v>
      </c>
      <c r="D41" s="17" t="s">
        <v>85</v>
      </c>
      <c r="E41" s="7">
        <v>2383</v>
      </c>
      <c r="F41" s="7">
        <v>-1</v>
      </c>
      <c r="G41" s="7">
        <v>0</v>
      </c>
      <c r="H41" s="7">
        <v>0</v>
      </c>
      <c r="I41" s="15" t="s">
        <v>43</v>
      </c>
      <c r="J41" s="7">
        <v>-1</v>
      </c>
      <c r="K41" s="7">
        <v>0</v>
      </c>
      <c r="L41" s="7">
        <v>0</v>
      </c>
      <c r="N41" s="24">
        <v>1</v>
      </c>
      <c r="O41" s="7">
        <v>1</v>
      </c>
      <c r="Q41" s="7" t="s">
        <v>149</v>
      </c>
      <c r="R41" s="7" t="s">
        <v>149</v>
      </c>
      <c r="S41" s="15">
        <v>11</v>
      </c>
      <c r="T41" s="7" t="str">
        <f t="shared" si="43"/>
        <v>补缺</v>
      </c>
      <c r="U41" s="7" t="str">
        <f t="shared" ref="U41:Z41" si="48">T41</f>
        <v>补缺</v>
      </c>
      <c r="V41" s="7" t="str">
        <f t="shared" si="48"/>
        <v>补缺</v>
      </c>
      <c r="W41" s="7" t="str">
        <f t="shared" si="48"/>
        <v>补缺</v>
      </c>
      <c r="X41" s="7" t="str">
        <f t="shared" si="48"/>
        <v>补缺</v>
      </c>
      <c r="Y41" s="7" t="str">
        <f t="shared" si="48"/>
        <v>补缺</v>
      </c>
      <c r="Z41" s="7" t="str">
        <f t="shared" si="48"/>
        <v>补缺</v>
      </c>
      <c r="AA41" s="7" t="s">
        <v>81</v>
      </c>
      <c r="AB41" s="7" t="str">
        <f t="shared" ref="AB41:AH41" si="49">AA41</f>
        <v>无</v>
      </c>
      <c r="AC41" s="7" t="str">
        <f t="shared" si="49"/>
        <v>无</v>
      </c>
      <c r="AD41" s="7" t="str">
        <f t="shared" si="49"/>
        <v>无</v>
      </c>
      <c r="AE41" s="7" t="str">
        <f t="shared" si="49"/>
        <v>无</v>
      </c>
      <c r="AF41" s="7" t="str">
        <f t="shared" si="49"/>
        <v>无</v>
      </c>
      <c r="AG41" s="7" t="str">
        <f t="shared" si="49"/>
        <v>无</v>
      </c>
      <c r="AH41" s="7" t="str">
        <f t="shared" si="49"/>
        <v>无</v>
      </c>
      <c r="AI41" s="15">
        <v>1</v>
      </c>
      <c r="AJ41" s="15">
        <v>2</v>
      </c>
      <c r="AK41" s="15">
        <v>3</v>
      </c>
      <c r="AL41" s="15">
        <v>4</v>
      </c>
      <c r="AM41" s="15">
        <v>5</v>
      </c>
      <c r="AN41" s="15">
        <v>6</v>
      </c>
      <c r="AO41" s="15">
        <v>7</v>
      </c>
      <c r="AP41" s="15"/>
    </row>
    <row r="42" s="7" customFormat="1" hidden="1" spans="1:42">
      <c r="A42" s="15">
        <v>120015</v>
      </c>
      <c r="B42" s="15" t="s">
        <v>152</v>
      </c>
      <c r="C42" s="15" t="s">
        <v>152</v>
      </c>
      <c r="D42" s="18" t="s">
        <v>87</v>
      </c>
      <c r="E42" s="7">
        <v>2384</v>
      </c>
      <c r="F42" s="7">
        <v>-1</v>
      </c>
      <c r="G42" s="7">
        <v>0</v>
      </c>
      <c r="H42" s="7">
        <v>0</v>
      </c>
      <c r="I42" s="15" t="s">
        <v>43</v>
      </c>
      <c r="J42" s="7">
        <v>-1</v>
      </c>
      <c r="K42" s="7">
        <v>0</v>
      </c>
      <c r="L42" s="7">
        <v>0</v>
      </c>
      <c r="N42" s="24">
        <v>1</v>
      </c>
      <c r="O42" s="7">
        <v>1</v>
      </c>
      <c r="Q42" s="7" t="s">
        <v>149</v>
      </c>
      <c r="R42" s="7" t="s">
        <v>149</v>
      </c>
      <c r="S42" s="15">
        <v>12</v>
      </c>
      <c r="T42" s="7" t="str">
        <f t="shared" si="43"/>
        <v>化身</v>
      </c>
      <c r="U42" s="7" t="str">
        <f t="shared" ref="U42:Z42" si="50">T42</f>
        <v>化身</v>
      </c>
      <c r="V42" s="7" t="str">
        <f t="shared" si="50"/>
        <v>化身</v>
      </c>
      <c r="W42" s="7" t="str">
        <f t="shared" si="50"/>
        <v>化身</v>
      </c>
      <c r="X42" s="7" t="str">
        <f t="shared" si="50"/>
        <v>化身</v>
      </c>
      <c r="Y42" s="7" t="str">
        <f t="shared" si="50"/>
        <v>化身</v>
      </c>
      <c r="Z42" s="7" t="str">
        <f t="shared" si="50"/>
        <v>化身</v>
      </c>
      <c r="AA42" s="7" t="s">
        <v>81</v>
      </c>
      <c r="AB42" s="7" t="str">
        <f t="shared" ref="AB42:AH42" si="51">AA42</f>
        <v>无</v>
      </c>
      <c r="AC42" s="7" t="str">
        <f t="shared" si="51"/>
        <v>无</v>
      </c>
      <c r="AD42" s="7" t="str">
        <f t="shared" si="51"/>
        <v>无</v>
      </c>
      <c r="AE42" s="7" t="str">
        <f t="shared" si="51"/>
        <v>无</v>
      </c>
      <c r="AF42" s="7" t="str">
        <f t="shared" si="51"/>
        <v>无</v>
      </c>
      <c r="AG42" s="7" t="str">
        <f t="shared" si="51"/>
        <v>无</v>
      </c>
      <c r="AH42" s="7" t="str">
        <f t="shared" si="51"/>
        <v>无</v>
      </c>
      <c r="AI42" s="15">
        <v>1</v>
      </c>
      <c r="AJ42" s="15">
        <v>2</v>
      </c>
      <c r="AK42" s="15">
        <v>3</v>
      </c>
      <c r="AL42" s="15">
        <v>4</v>
      </c>
      <c r="AM42" s="15">
        <v>5</v>
      </c>
      <c r="AN42" s="15">
        <v>6</v>
      </c>
      <c r="AO42" s="15">
        <v>7</v>
      </c>
      <c r="AP42" s="15"/>
    </row>
    <row r="43" s="7" customFormat="1" hidden="1" spans="1:42">
      <c r="A43" s="15">
        <v>120016</v>
      </c>
      <c r="B43" s="15" t="s">
        <v>153</v>
      </c>
      <c r="C43" s="15" t="s">
        <v>153</v>
      </c>
      <c r="D43" s="17" t="s">
        <v>89</v>
      </c>
      <c r="E43" s="7">
        <v>2385</v>
      </c>
      <c r="F43" s="7">
        <v>-1</v>
      </c>
      <c r="G43" s="7">
        <v>0</v>
      </c>
      <c r="H43" s="7">
        <v>0</v>
      </c>
      <c r="I43" s="15" t="s">
        <v>43</v>
      </c>
      <c r="J43" s="7">
        <v>-1</v>
      </c>
      <c r="K43" s="7">
        <v>0</v>
      </c>
      <c r="L43" s="7">
        <v>0</v>
      </c>
      <c r="N43" s="24">
        <v>1</v>
      </c>
      <c r="O43" s="7">
        <v>1</v>
      </c>
      <c r="Q43" s="7" t="s">
        <v>149</v>
      </c>
      <c r="R43" s="7" t="s">
        <v>149</v>
      </c>
      <c r="S43" s="15">
        <v>13</v>
      </c>
      <c r="T43" s="7" t="str">
        <f t="shared" si="43"/>
        <v>斗法</v>
      </c>
      <c r="U43" s="7" t="str">
        <f t="shared" ref="U43:Z43" si="52">T43</f>
        <v>斗法</v>
      </c>
      <c r="V43" s="7" t="str">
        <f t="shared" si="52"/>
        <v>斗法</v>
      </c>
      <c r="W43" s="7" t="str">
        <f t="shared" si="52"/>
        <v>斗法</v>
      </c>
      <c r="X43" s="7" t="str">
        <f t="shared" si="52"/>
        <v>斗法</v>
      </c>
      <c r="Y43" s="7" t="str">
        <f t="shared" si="52"/>
        <v>斗法</v>
      </c>
      <c r="Z43" s="7" t="str">
        <f t="shared" si="52"/>
        <v>斗法</v>
      </c>
      <c r="AA43" s="7" t="s">
        <v>81</v>
      </c>
      <c r="AB43" s="7" t="str">
        <f t="shared" ref="AB43:AH43" si="53">AA43</f>
        <v>无</v>
      </c>
      <c r="AC43" s="7" t="str">
        <f t="shared" si="53"/>
        <v>无</v>
      </c>
      <c r="AD43" s="7" t="str">
        <f t="shared" si="53"/>
        <v>无</v>
      </c>
      <c r="AE43" s="7" t="str">
        <f t="shared" si="53"/>
        <v>无</v>
      </c>
      <c r="AF43" s="7" t="str">
        <f t="shared" si="53"/>
        <v>无</v>
      </c>
      <c r="AG43" s="7" t="str">
        <f t="shared" si="53"/>
        <v>无</v>
      </c>
      <c r="AH43" s="7" t="str">
        <f t="shared" si="53"/>
        <v>无</v>
      </c>
      <c r="AI43" s="15">
        <v>1</v>
      </c>
      <c r="AJ43" s="15">
        <v>2</v>
      </c>
      <c r="AK43" s="15">
        <v>3</v>
      </c>
      <c r="AL43" s="15">
        <v>4</v>
      </c>
      <c r="AM43" s="15">
        <v>5</v>
      </c>
      <c r="AN43" s="15">
        <v>6</v>
      </c>
      <c r="AO43" s="15">
        <v>7</v>
      </c>
      <c r="AP43" s="15"/>
    </row>
    <row r="44" s="7" customFormat="1" hidden="1" spans="1:42">
      <c r="A44" s="15">
        <v>120017</v>
      </c>
      <c r="B44" s="15" t="s">
        <v>154</v>
      </c>
      <c r="C44" s="15" t="s">
        <v>154</v>
      </c>
      <c r="D44" s="17" t="s">
        <v>91</v>
      </c>
      <c r="E44" s="7">
        <v>2386</v>
      </c>
      <c r="F44" s="7">
        <v>-1</v>
      </c>
      <c r="G44" s="7">
        <v>0</v>
      </c>
      <c r="H44" s="7">
        <v>0</v>
      </c>
      <c r="I44" s="15" t="s">
        <v>43</v>
      </c>
      <c r="J44" s="7">
        <v>-1</v>
      </c>
      <c r="K44" s="7">
        <v>0</v>
      </c>
      <c r="L44" s="7">
        <v>0</v>
      </c>
      <c r="N44" s="24">
        <v>1</v>
      </c>
      <c r="O44" s="7">
        <v>1</v>
      </c>
      <c r="Q44" s="7" t="s">
        <v>149</v>
      </c>
      <c r="R44" s="7" t="s">
        <v>149</v>
      </c>
      <c r="S44" s="15">
        <v>14</v>
      </c>
      <c r="T44" s="7" t="str">
        <f t="shared" si="43"/>
        <v>鬼念</v>
      </c>
      <c r="U44" s="7" t="str">
        <f t="shared" ref="U44:Z44" si="54">T44</f>
        <v>鬼念</v>
      </c>
      <c r="V44" s="7" t="str">
        <f t="shared" si="54"/>
        <v>鬼念</v>
      </c>
      <c r="W44" s="7" t="str">
        <f t="shared" si="54"/>
        <v>鬼念</v>
      </c>
      <c r="X44" s="7" t="str">
        <f t="shared" si="54"/>
        <v>鬼念</v>
      </c>
      <c r="Y44" s="7" t="str">
        <f t="shared" si="54"/>
        <v>鬼念</v>
      </c>
      <c r="Z44" s="7" t="str">
        <f t="shared" si="54"/>
        <v>鬼念</v>
      </c>
      <c r="AA44" s="7" t="s">
        <v>81</v>
      </c>
      <c r="AB44" s="7" t="str">
        <f t="shared" ref="AB44:AH44" si="55">AA44</f>
        <v>无</v>
      </c>
      <c r="AC44" s="7" t="str">
        <f t="shared" si="55"/>
        <v>无</v>
      </c>
      <c r="AD44" s="7" t="str">
        <f t="shared" si="55"/>
        <v>无</v>
      </c>
      <c r="AE44" s="7" t="str">
        <f t="shared" si="55"/>
        <v>无</v>
      </c>
      <c r="AF44" s="7" t="str">
        <f t="shared" si="55"/>
        <v>无</v>
      </c>
      <c r="AG44" s="7" t="str">
        <f t="shared" si="55"/>
        <v>无</v>
      </c>
      <c r="AH44" s="7" t="str">
        <f t="shared" si="55"/>
        <v>无</v>
      </c>
      <c r="AI44" s="15">
        <v>1</v>
      </c>
      <c r="AJ44" s="15">
        <v>2</v>
      </c>
      <c r="AK44" s="15">
        <v>3</v>
      </c>
      <c r="AL44" s="15">
        <v>4</v>
      </c>
      <c r="AM44" s="15">
        <v>5</v>
      </c>
      <c r="AN44" s="15">
        <v>6</v>
      </c>
      <c r="AO44" s="15">
        <v>7</v>
      </c>
      <c r="AP44" s="15"/>
    </row>
    <row r="45" s="7" customFormat="1" hidden="1" spans="1:42">
      <c r="A45" s="15">
        <v>120018</v>
      </c>
      <c r="B45" s="15" t="s">
        <v>92</v>
      </c>
      <c r="C45" s="15" t="s">
        <v>92</v>
      </c>
      <c r="D45" s="19" t="s">
        <v>93</v>
      </c>
      <c r="E45" s="7">
        <v>2379</v>
      </c>
      <c r="F45" s="7">
        <v>-1</v>
      </c>
      <c r="G45" s="7">
        <v>0</v>
      </c>
      <c r="H45" s="7">
        <v>0</v>
      </c>
      <c r="I45" s="15" t="s">
        <v>43</v>
      </c>
      <c r="J45" s="7">
        <v>-1</v>
      </c>
      <c r="K45" s="7">
        <v>0</v>
      </c>
      <c r="L45" s="7">
        <v>0</v>
      </c>
      <c r="N45" s="24">
        <v>1</v>
      </c>
      <c r="O45" s="7">
        <v>1</v>
      </c>
      <c r="Q45" s="7" t="s">
        <v>149</v>
      </c>
      <c r="R45" s="7" t="s">
        <v>149</v>
      </c>
      <c r="S45" s="15">
        <v>15</v>
      </c>
      <c r="T45" s="7" t="str">
        <f t="shared" si="43"/>
        <v>额外能力</v>
      </c>
      <c r="U45" s="7" t="str">
        <f t="shared" ref="U45:Z45" si="56">T45</f>
        <v>额外能力</v>
      </c>
      <c r="V45" s="7" t="str">
        <f t="shared" si="56"/>
        <v>额外能力</v>
      </c>
      <c r="W45" s="7" t="str">
        <f t="shared" si="56"/>
        <v>额外能力</v>
      </c>
      <c r="X45" s="7" t="str">
        <f t="shared" si="56"/>
        <v>额外能力</v>
      </c>
      <c r="Y45" s="7" t="str">
        <f t="shared" si="56"/>
        <v>额外能力</v>
      </c>
      <c r="Z45" s="7" t="str">
        <f t="shared" si="56"/>
        <v>额外能力</v>
      </c>
      <c r="AA45" s="7" t="s">
        <v>81</v>
      </c>
      <c r="AB45" s="7" t="str">
        <f t="shared" ref="AB45:AH45" si="57">AA45</f>
        <v>无</v>
      </c>
      <c r="AC45" s="7" t="str">
        <f t="shared" si="57"/>
        <v>无</v>
      </c>
      <c r="AD45" s="7" t="str">
        <f t="shared" si="57"/>
        <v>无</v>
      </c>
      <c r="AE45" s="7" t="str">
        <f t="shared" si="57"/>
        <v>无</v>
      </c>
      <c r="AF45" s="7" t="str">
        <f t="shared" si="57"/>
        <v>无</v>
      </c>
      <c r="AG45" s="7" t="str">
        <f t="shared" si="57"/>
        <v>无</v>
      </c>
      <c r="AH45" s="7" t="str">
        <f t="shared" si="57"/>
        <v>无</v>
      </c>
      <c r="AI45" s="15">
        <v>1</v>
      </c>
      <c r="AJ45" s="15">
        <v>2</v>
      </c>
      <c r="AK45" s="15">
        <v>3</v>
      </c>
      <c r="AL45" s="15">
        <v>4</v>
      </c>
      <c r="AM45" s="15">
        <v>5</v>
      </c>
      <c r="AN45" s="15">
        <v>6</v>
      </c>
      <c r="AO45" s="15">
        <v>7</v>
      </c>
      <c r="AP45" s="15"/>
    </row>
    <row r="46" s="7" customFormat="1" hidden="1" spans="1:42">
      <c r="A46" s="15">
        <v>120019</v>
      </c>
      <c r="B46" s="15" t="s">
        <v>155</v>
      </c>
      <c r="C46" s="15" t="s">
        <v>155</v>
      </c>
      <c r="D46" s="17" t="s">
        <v>95</v>
      </c>
      <c r="E46" s="7">
        <v>2387</v>
      </c>
      <c r="F46" s="7">
        <v>-1</v>
      </c>
      <c r="G46" s="7">
        <v>0</v>
      </c>
      <c r="H46" s="7">
        <v>0</v>
      </c>
      <c r="I46" s="15" t="s">
        <v>43</v>
      </c>
      <c r="J46" s="7">
        <v>-1</v>
      </c>
      <c r="K46" s="7">
        <v>0</v>
      </c>
      <c r="L46" s="7">
        <v>0</v>
      </c>
      <c r="N46" s="24">
        <v>1</v>
      </c>
      <c r="O46" s="7">
        <v>1</v>
      </c>
      <c r="Q46" s="7" t="s">
        <v>149</v>
      </c>
      <c r="R46" s="7" t="s">
        <v>149</v>
      </c>
      <c r="S46" s="15">
        <v>16</v>
      </c>
      <c r="T46" s="7" t="str">
        <f t="shared" si="43"/>
        <v>苦缠</v>
      </c>
      <c r="U46" s="7" t="str">
        <f t="shared" ref="U46:Z46" si="58">T46</f>
        <v>苦缠</v>
      </c>
      <c r="V46" s="7" t="str">
        <f t="shared" si="58"/>
        <v>苦缠</v>
      </c>
      <c r="W46" s="7" t="str">
        <f t="shared" si="58"/>
        <v>苦缠</v>
      </c>
      <c r="X46" s="7" t="str">
        <f t="shared" si="58"/>
        <v>苦缠</v>
      </c>
      <c r="Y46" s="7" t="str">
        <f t="shared" si="58"/>
        <v>苦缠</v>
      </c>
      <c r="Z46" s="7" t="str">
        <f t="shared" si="58"/>
        <v>苦缠</v>
      </c>
      <c r="AA46" s="7" t="s">
        <v>81</v>
      </c>
      <c r="AB46" s="7" t="str">
        <f t="shared" ref="AB46:AH46" si="59">AA46</f>
        <v>无</v>
      </c>
      <c r="AC46" s="7" t="str">
        <f t="shared" si="59"/>
        <v>无</v>
      </c>
      <c r="AD46" s="7" t="str">
        <f t="shared" si="59"/>
        <v>无</v>
      </c>
      <c r="AE46" s="7" t="str">
        <f t="shared" si="59"/>
        <v>无</v>
      </c>
      <c r="AF46" s="7" t="str">
        <f t="shared" si="59"/>
        <v>无</v>
      </c>
      <c r="AG46" s="7" t="str">
        <f t="shared" si="59"/>
        <v>无</v>
      </c>
      <c r="AH46" s="7" t="str">
        <f t="shared" si="59"/>
        <v>无</v>
      </c>
      <c r="AI46" s="15">
        <v>1</v>
      </c>
      <c r="AJ46" s="15">
        <v>2</v>
      </c>
      <c r="AK46" s="15">
        <v>3</v>
      </c>
      <c r="AL46" s="15">
        <v>4</v>
      </c>
      <c r="AM46" s="15">
        <v>5</v>
      </c>
      <c r="AN46" s="15">
        <v>6</v>
      </c>
      <c r="AO46" s="15">
        <v>7</v>
      </c>
      <c r="AP46" s="15"/>
    </row>
    <row r="47" s="7" customFormat="1" hidden="1" spans="1:42">
      <c r="A47" s="15">
        <v>120020</v>
      </c>
      <c r="B47" s="15" t="s">
        <v>156</v>
      </c>
      <c r="C47" s="15" t="s">
        <v>156</v>
      </c>
      <c r="D47" s="16" t="s">
        <v>97</v>
      </c>
      <c r="E47" s="7">
        <v>2388</v>
      </c>
      <c r="F47" s="7">
        <v>-1</v>
      </c>
      <c r="G47" s="7">
        <v>0</v>
      </c>
      <c r="H47" s="7">
        <v>0</v>
      </c>
      <c r="I47" s="15" t="s">
        <v>43</v>
      </c>
      <c r="J47" s="7">
        <v>-1</v>
      </c>
      <c r="K47" s="7">
        <v>0</v>
      </c>
      <c r="L47" s="7">
        <v>0</v>
      </c>
      <c r="N47" s="24">
        <v>1</v>
      </c>
      <c r="O47" s="7">
        <v>1</v>
      </c>
      <c r="Q47" s="7" t="s">
        <v>149</v>
      </c>
      <c r="R47" s="7" t="s">
        <v>149</v>
      </c>
      <c r="S47" s="15">
        <v>17</v>
      </c>
      <c r="T47" s="7" t="str">
        <f t="shared" si="43"/>
        <v>制约</v>
      </c>
      <c r="U47" s="7" t="str">
        <f t="shared" ref="U47:Z47" si="60">T47</f>
        <v>制约</v>
      </c>
      <c r="V47" s="7" t="str">
        <f t="shared" si="60"/>
        <v>制约</v>
      </c>
      <c r="W47" s="7" t="str">
        <f t="shared" si="60"/>
        <v>制约</v>
      </c>
      <c r="X47" s="7" t="str">
        <f t="shared" si="60"/>
        <v>制约</v>
      </c>
      <c r="Y47" s="7" t="str">
        <f t="shared" si="60"/>
        <v>制约</v>
      </c>
      <c r="Z47" s="7" t="str">
        <f t="shared" si="60"/>
        <v>制约</v>
      </c>
      <c r="AA47" s="7" t="s">
        <v>81</v>
      </c>
      <c r="AB47" s="7" t="str">
        <f t="shared" ref="AB47:AH47" si="61">AA47</f>
        <v>无</v>
      </c>
      <c r="AC47" s="7" t="str">
        <f t="shared" si="61"/>
        <v>无</v>
      </c>
      <c r="AD47" s="7" t="str">
        <f t="shared" si="61"/>
        <v>无</v>
      </c>
      <c r="AE47" s="7" t="str">
        <f t="shared" si="61"/>
        <v>无</v>
      </c>
      <c r="AF47" s="7" t="str">
        <f t="shared" si="61"/>
        <v>无</v>
      </c>
      <c r="AG47" s="7" t="str">
        <f t="shared" si="61"/>
        <v>无</v>
      </c>
      <c r="AH47" s="7" t="str">
        <f t="shared" si="61"/>
        <v>无</v>
      </c>
      <c r="AI47" s="15">
        <v>1</v>
      </c>
      <c r="AJ47" s="15">
        <v>2</v>
      </c>
      <c r="AK47" s="15">
        <v>3</v>
      </c>
      <c r="AL47" s="15">
        <v>4</v>
      </c>
      <c r="AM47" s="15">
        <v>5</v>
      </c>
      <c r="AN47" s="15">
        <v>6</v>
      </c>
      <c r="AO47" s="15">
        <v>7</v>
      </c>
      <c r="AP47" s="15"/>
    </row>
    <row r="48" s="7" customFormat="1" hidden="1" spans="1:42">
      <c r="A48" s="15">
        <v>120021</v>
      </c>
      <c r="B48" s="15" t="s">
        <v>157</v>
      </c>
      <c r="C48" s="15" t="s">
        <v>157</v>
      </c>
      <c r="D48" s="17" t="s">
        <v>91</v>
      </c>
      <c r="E48" s="7">
        <v>2389</v>
      </c>
      <c r="F48" s="7">
        <v>-1</v>
      </c>
      <c r="G48" s="7">
        <v>0</v>
      </c>
      <c r="H48" s="7">
        <v>0</v>
      </c>
      <c r="I48" s="15" t="s">
        <v>43</v>
      </c>
      <c r="J48" s="7">
        <v>-1</v>
      </c>
      <c r="K48" s="7">
        <v>0</v>
      </c>
      <c r="L48" s="7">
        <v>0</v>
      </c>
      <c r="N48" s="24">
        <v>1</v>
      </c>
      <c r="O48" s="7">
        <v>1</v>
      </c>
      <c r="Q48" s="7" t="s">
        <v>149</v>
      </c>
      <c r="R48" s="7" t="s">
        <v>149</v>
      </c>
      <c r="S48" s="15">
        <v>18</v>
      </c>
      <c r="T48" s="7" t="str">
        <f t="shared" si="43"/>
        <v>不倦</v>
      </c>
      <c r="U48" s="7" t="str">
        <f t="shared" ref="U48:Z48" si="62">T48</f>
        <v>不倦</v>
      </c>
      <c r="V48" s="7" t="str">
        <f t="shared" si="62"/>
        <v>不倦</v>
      </c>
      <c r="W48" s="7" t="str">
        <f t="shared" si="62"/>
        <v>不倦</v>
      </c>
      <c r="X48" s="7" t="str">
        <f t="shared" si="62"/>
        <v>不倦</v>
      </c>
      <c r="Y48" s="7" t="str">
        <f t="shared" si="62"/>
        <v>不倦</v>
      </c>
      <c r="Z48" s="7" t="str">
        <f t="shared" si="62"/>
        <v>不倦</v>
      </c>
      <c r="AA48" s="7" t="s">
        <v>81</v>
      </c>
      <c r="AB48" s="7" t="str">
        <f t="shared" ref="AB48:AH48" si="63">AA48</f>
        <v>无</v>
      </c>
      <c r="AC48" s="7" t="str">
        <f t="shared" si="63"/>
        <v>无</v>
      </c>
      <c r="AD48" s="7" t="str">
        <f t="shared" si="63"/>
        <v>无</v>
      </c>
      <c r="AE48" s="7" t="str">
        <f t="shared" si="63"/>
        <v>无</v>
      </c>
      <c r="AF48" s="7" t="str">
        <f t="shared" si="63"/>
        <v>无</v>
      </c>
      <c r="AG48" s="7" t="str">
        <f t="shared" si="63"/>
        <v>无</v>
      </c>
      <c r="AH48" s="7" t="str">
        <f t="shared" si="63"/>
        <v>无</v>
      </c>
      <c r="AI48" s="15">
        <v>1</v>
      </c>
      <c r="AJ48" s="15">
        <v>2</v>
      </c>
      <c r="AK48" s="15">
        <v>3</v>
      </c>
      <c r="AL48" s="15">
        <v>4</v>
      </c>
      <c r="AM48" s="15">
        <v>5</v>
      </c>
      <c r="AN48" s="15">
        <v>6</v>
      </c>
      <c r="AO48" s="15">
        <v>7</v>
      </c>
      <c r="AP48" s="15"/>
    </row>
    <row r="49" s="7" customFormat="1" hidden="1" spans="1:42">
      <c r="A49" s="15">
        <v>120022</v>
      </c>
      <c r="B49" s="15" t="s">
        <v>158</v>
      </c>
      <c r="C49" s="15" t="s">
        <v>158</v>
      </c>
      <c r="D49" s="17" t="s">
        <v>100</v>
      </c>
      <c r="E49" s="7">
        <v>2390</v>
      </c>
      <c r="F49" s="7">
        <v>-1</v>
      </c>
      <c r="G49" s="7">
        <v>0</v>
      </c>
      <c r="H49" s="7">
        <v>0</v>
      </c>
      <c r="I49" s="15" t="s">
        <v>43</v>
      </c>
      <c r="J49" s="7">
        <v>-1</v>
      </c>
      <c r="K49" s="7">
        <v>0</v>
      </c>
      <c r="L49" s="7">
        <v>0</v>
      </c>
      <c r="N49" s="24">
        <v>1</v>
      </c>
      <c r="O49" s="7">
        <v>1</v>
      </c>
      <c r="Q49" s="7" t="s">
        <v>149</v>
      </c>
      <c r="R49" s="7" t="s">
        <v>149</v>
      </c>
      <c r="S49" s="15">
        <v>19</v>
      </c>
      <c r="T49" s="7" t="str">
        <f t="shared" si="43"/>
        <v>调息</v>
      </c>
      <c r="U49" s="7" t="str">
        <f t="shared" ref="U49:Z49" si="64">T49</f>
        <v>调息</v>
      </c>
      <c r="V49" s="7" t="str">
        <f t="shared" si="64"/>
        <v>调息</v>
      </c>
      <c r="W49" s="7" t="str">
        <f t="shared" si="64"/>
        <v>调息</v>
      </c>
      <c r="X49" s="7" t="str">
        <f t="shared" si="64"/>
        <v>调息</v>
      </c>
      <c r="Y49" s="7" t="str">
        <f t="shared" si="64"/>
        <v>调息</v>
      </c>
      <c r="Z49" s="7" t="str">
        <f t="shared" si="64"/>
        <v>调息</v>
      </c>
      <c r="AA49" s="7" t="s">
        <v>81</v>
      </c>
      <c r="AB49" s="7" t="str">
        <f t="shared" ref="AB49:AH49" si="65">AA49</f>
        <v>无</v>
      </c>
      <c r="AC49" s="7" t="str">
        <f t="shared" si="65"/>
        <v>无</v>
      </c>
      <c r="AD49" s="7" t="str">
        <f t="shared" si="65"/>
        <v>无</v>
      </c>
      <c r="AE49" s="7" t="str">
        <f t="shared" si="65"/>
        <v>无</v>
      </c>
      <c r="AF49" s="7" t="str">
        <f t="shared" si="65"/>
        <v>无</v>
      </c>
      <c r="AG49" s="7" t="str">
        <f t="shared" si="65"/>
        <v>无</v>
      </c>
      <c r="AH49" s="7" t="str">
        <f t="shared" si="65"/>
        <v>无</v>
      </c>
      <c r="AI49" s="15">
        <v>1</v>
      </c>
      <c r="AJ49" s="15">
        <v>2</v>
      </c>
      <c r="AK49" s="15">
        <v>3</v>
      </c>
      <c r="AL49" s="15">
        <v>4</v>
      </c>
      <c r="AM49" s="15">
        <v>5</v>
      </c>
      <c r="AN49" s="15">
        <v>6</v>
      </c>
      <c r="AO49" s="15">
        <v>7</v>
      </c>
      <c r="AP49" s="15"/>
    </row>
    <row r="50" s="7" customFormat="1" hidden="1" spans="1:42">
      <c r="A50" s="15">
        <v>120023</v>
      </c>
      <c r="B50" s="15" t="s">
        <v>159</v>
      </c>
      <c r="C50" s="15" t="s">
        <v>159</v>
      </c>
      <c r="D50" s="17" t="s">
        <v>91</v>
      </c>
      <c r="E50" s="7">
        <v>2391</v>
      </c>
      <c r="F50" s="7">
        <v>-1</v>
      </c>
      <c r="G50" s="7">
        <v>0</v>
      </c>
      <c r="H50" s="7">
        <v>0</v>
      </c>
      <c r="I50" s="15" t="s">
        <v>43</v>
      </c>
      <c r="J50" s="7">
        <v>-1</v>
      </c>
      <c r="K50" s="7">
        <v>0</v>
      </c>
      <c r="L50" s="7">
        <v>0</v>
      </c>
      <c r="N50" s="24">
        <v>1</v>
      </c>
      <c r="O50" s="7">
        <v>1</v>
      </c>
      <c r="Q50" s="7" t="s">
        <v>149</v>
      </c>
      <c r="R50" s="7" t="s">
        <v>149</v>
      </c>
      <c r="S50" s="15">
        <v>20</v>
      </c>
      <c r="T50" s="7" t="str">
        <f t="shared" si="43"/>
        <v>吐纳</v>
      </c>
      <c r="U50" s="7" t="str">
        <f t="shared" ref="U50:Z50" si="66">T50</f>
        <v>吐纳</v>
      </c>
      <c r="V50" s="7" t="str">
        <f t="shared" si="66"/>
        <v>吐纳</v>
      </c>
      <c r="W50" s="7" t="str">
        <f t="shared" si="66"/>
        <v>吐纳</v>
      </c>
      <c r="X50" s="7" t="str">
        <f t="shared" si="66"/>
        <v>吐纳</v>
      </c>
      <c r="Y50" s="7" t="str">
        <f t="shared" si="66"/>
        <v>吐纳</v>
      </c>
      <c r="Z50" s="7" t="str">
        <f t="shared" si="66"/>
        <v>吐纳</v>
      </c>
      <c r="AA50" s="7" t="s">
        <v>81</v>
      </c>
      <c r="AB50" s="7" t="str">
        <f t="shared" ref="AB50:AH50" si="67">AA50</f>
        <v>无</v>
      </c>
      <c r="AC50" s="7" t="str">
        <f t="shared" si="67"/>
        <v>无</v>
      </c>
      <c r="AD50" s="7" t="str">
        <f t="shared" si="67"/>
        <v>无</v>
      </c>
      <c r="AE50" s="7" t="str">
        <f t="shared" si="67"/>
        <v>无</v>
      </c>
      <c r="AF50" s="7" t="str">
        <f t="shared" si="67"/>
        <v>无</v>
      </c>
      <c r="AG50" s="7" t="str">
        <f t="shared" si="67"/>
        <v>无</v>
      </c>
      <c r="AH50" s="7" t="str">
        <f t="shared" si="67"/>
        <v>无</v>
      </c>
      <c r="AI50" s="15">
        <v>1</v>
      </c>
      <c r="AJ50" s="15">
        <v>2</v>
      </c>
      <c r="AK50" s="15">
        <v>3</v>
      </c>
      <c r="AL50" s="15">
        <v>4</v>
      </c>
      <c r="AM50" s="15">
        <v>5</v>
      </c>
      <c r="AN50" s="15">
        <v>6</v>
      </c>
      <c r="AO50" s="15">
        <v>7</v>
      </c>
      <c r="AP50" s="15"/>
    </row>
    <row r="51" s="7" customFormat="1" hidden="1" spans="1:42">
      <c r="A51" s="15">
        <v>120024</v>
      </c>
      <c r="B51" s="15" t="s">
        <v>160</v>
      </c>
      <c r="C51" s="15" t="s">
        <v>160</v>
      </c>
      <c r="D51" s="17" t="s">
        <v>103</v>
      </c>
      <c r="E51" s="7">
        <v>2392</v>
      </c>
      <c r="F51" s="7">
        <v>-1</v>
      </c>
      <c r="G51" s="7">
        <v>0</v>
      </c>
      <c r="H51" s="7">
        <v>0</v>
      </c>
      <c r="I51" s="15" t="s">
        <v>43</v>
      </c>
      <c r="J51" s="7">
        <v>-1</v>
      </c>
      <c r="K51" s="7">
        <v>0</v>
      </c>
      <c r="L51" s="7">
        <v>0</v>
      </c>
      <c r="N51" s="24">
        <v>1</v>
      </c>
      <c r="O51" s="7">
        <v>1</v>
      </c>
      <c r="Q51" s="7" t="s">
        <v>149</v>
      </c>
      <c r="R51" s="7" t="s">
        <v>149</v>
      </c>
      <c r="S51" s="15">
        <v>21</v>
      </c>
      <c r="T51" s="7" t="str">
        <f t="shared" si="43"/>
        <v>灵威</v>
      </c>
      <c r="U51" s="7" t="str">
        <f t="shared" ref="U51:Z51" si="68">T51</f>
        <v>灵威</v>
      </c>
      <c r="V51" s="7" t="str">
        <f t="shared" si="68"/>
        <v>灵威</v>
      </c>
      <c r="W51" s="7" t="str">
        <f t="shared" si="68"/>
        <v>灵威</v>
      </c>
      <c r="X51" s="7" t="str">
        <f t="shared" si="68"/>
        <v>灵威</v>
      </c>
      <c r="Y51" s="7" t="str">
        <f t="shared" si="68"/>
        <v>灵威</v>
      </c>
      <c r="Z51" s="7" t="str">
        <f t="shared" si="68"/>
        <v>灵威</v>
      </c>
      <c r="AA51" s="7" t="s">
        <v>81</v>
      </c>
      <c r="AB51" s="7" t="str">
        <f t="shared" ref="AB51:AH51" si="69">AA51</f>
        <v>无</v>
      </c>
      <c r="AC51" s="7" t="str">
        <f t="shared" si="69"/>
        <v>无</v>
      </c>
      <c r="AD51" s="7" t="str">
        <f t="shared" si="69"/>
        <v>无</v>
      </c>
      <c r="AE51" s="7" t="str">
        <f t="shared" si="69"/>
        <v>无</v>
      </c>
      <c r="AF51" s="7" t="str">
        <f t="shared" si="69"/>
        <v>无</v>
      </c>
      <c r="AG51" s="7" t="str">
        <f t="shared" si="69"/>
        <v>无</v>
      </c>
      <c r="AH51" s="7" t="str">
        <f t="shared" si="69"/>
        <v>无</v>
      </c>
      <c r="AI51" s="15">
        <v>1</v>
      </c>
      <c r="AJ51" s="15">
        <v>2</v>
      </c>
      <c r="AK51" s="15">
        <v>3</v>
      </c>
      <c r="AL51" s="15">
        <v>4</v>
      </c>
      <c r="AM51" s="15">
        <v>5</v>
      </c>
      <c r="AN51" s="15">
        <v>6</v>
      </c>
      <c r="AO51" s="15">
        <v>7</v>
      </c>
      <c r="AP51" s="15"/>
    </row>
    <row r="52" s="7" customFormat="1" hidden="1" spans="1:42">
      <c r="A52" s="15">
        <v>120025</v>
      </c>
      <c r="B52" s="15" t="s">
        <v>161</v>
      </c>
      <c r="C52" s="15" t="s">
        <v>161</v>
      </c>
      <c r="D52" s="17" t="s">
        <v>105</v>
      </c>
      <c r="E52" s="7">
        <v>2393</v>
      </c>
      <c r="F52" s="7">
        <v>-1</v>
      </c>
      <c r="G52" s="7">
        <v>0</v>
      </c>
      <c r="H52" s="7">
        <v>0</v>
      </c>
      <c r="I52" s="15" t="s">
        <v>43</v>
      </c>
      <c r="J52" s="7">
        <v>-1</v>
      </c>
      <c r="K52" s="7">
        <v>0</v>
      </c>
      <c r="L52" s="7">
        <v>0</v>
      </c>
      <c r="N52" s="24">
        <v>1</v>
      </c>
      <c r="O52" s="7">
        <v>1</v>
      </c>
      <c r="Q52" s="7" t="s">
        <v>149</v>
      </c>
      <c r="R52" s="7" t="s">
        <v>149</v>
      </c>
      <c r="S52" s="15">
        <v>22</v>
      </c>
      <c r="T52" s="7" t="str">
        <f t="shared" si="43"/>
        <v>顺势而为</v>
      </c>
      <c r="U52" s="7" t="str">
        <f t="shared" ref="U52:Z52" si="70">T52</f>
        <v>顺势而为</v>
      </c>
      <c r="V52" s="7" t="str">
        <f t="shared" si="70"/>
        <v>顺势而为</v>
      </c>
      <c r="W52" s="7" t="str">
        <f t="shared" si="70"/>
        <v>顺势而为</v>
      </c>
      <c r="X52" s="7" t="str">
        <f t="shared" si="70"/>
        <v>顺势而为</v>
      </c>
      <c r="Y52" s="7" t="str">
        <f t="shared" si="70"/>
        <v>顺势而为</v>
      </c>
      <c r="Z52" s="7" t="str">
        <f t="shared" si="70"/>
        <v>顺势而为</v>
      </c>
      <c r="AA52" s="7" t="s">
        <v>81</v>
      </c>
      <c r="AB52" s="7" t="str">
        <f t="shared" ref="AB52:AH52" si="71">AA52</f>
        <v>无</v>
      </c>
      <c r="AC52" s="7" t="str">
        <f t="shared" si="71"/>
        <v>无</v>
      </c>
      <c r="AD52" s="7" t="str">
        <f t="shared" si="71"/>
        <v>无</v>
      </c>
      <c r="AE52" s="7" t="str">
        <f t="shared" si="71"/>
        <v>无</v>
      </c>
      <c r="AF52" s="7" t="str">
        <f t="shared" si="71"/>
        <v>无</v>
      </c>
      <c r="AG52" s="7" t="str">
        <f t="shared" si="71"/>
        <v>无</v>
      </c>
      <c r="AH52" s="7" t="str">
        <f t="shared" si="71"/>
        <v>无</v>
      </c>
      <c r="AI52" s="15">
        <v>1</v>
      </c>
      <c r="AJ52" s="15">
        <v>2</v>
      </c>
      <c r="AK52" s="15">
        <v>3</v>
      </c>
      <c r="AL52" s="15">
        <v>4</v>
      </c>
      <c r="AM52" s="15">
        <v>5</v>
      </c>
      <c r="AN52" s="15">
        <v>6</v>
      </c>
      <c r="AO52" s="15">
        <v>7</v>
      </c>
      <c r="AP52" s="15"/>
    </row>
    <row r="53" s="7" customFormat="1" hidden="1" spans="1:42">
      <c r="A53" s="15">
        <v>120026</v>
      </c>
      <c r="B53" s="15" t="s">
        <v>162</v>
      </c>
      <c r="C53" s="15" t="s">
        <v>162</v>
      </c>
      <c r="D53" s="16" t="s">
        <v>83</v>
      </c>
      <c r="E53" s="7">
        <v>2394</v>
      </c>
      <c r="F53" s="7">
        <v>-1</v>
      </c>
      <c r="G53" s="7">
        <v>0</v>
      </c>
      <c r="H53" s="7">
        <v>0</v>
      </c>
      <c r="I53" s="15" t="s">
        <v>43</v>
      </c>
      <c r="J53" s="7">
        <v>-1</v>
      </c>
      <c r="K53" s="7">
        <v>0</v>
      </c>
      <c r="L53" s="7">
        <v>0</v>
      </c>
      <c r="N53" s="24">
        <v>1</v>
      </c>
      <c r="O53" s="7">
        <v>1</v>
      </c>
      <c r="Q53" s="7" t="s">
        <v>149</v>
      </c>
      <c r="R53" s="7" t="s">
        <v>149</v>
      </c>
      <c r="S53" s="15">
        <v>23</v>
      </c>
      <c r="T53" s="7" t="str">
        <f t="shared" si="43"/>
        <v>灵咒</v>
      </c>
      <c r="U53" s="7" t="str">
        <f t="shared" ref="U53:Z53" si="72">T53</f>
        <v>灵咒</v>
      </c>
      <c r="V53" s="7" t="str">
        <f t="shared" si="72"/>
        <v>灵咒</v>
      </c>
      <c r="W53" s="7" t="str">
        <f t="shared" si="72"/>
        <v>灵咒</v>
      </c>
      <c r="X53" s="7" t="str">
        <f t="shared" si="72"/>
        <v>灵咒</v>
      </c>
      <c r="Y53" s="7" t="str">
        <f t="shared" si="72"/>
        <v>灵咒</v>
      </c>
      <c r="Z53" s="7" t="str">
        <f t="shared" si="72"/>
        <v>灵咒</v>
      </c>
      <c r="AA53" s="7" t="s">
        <v>81</v>
      </c>
      <c r="AB53" s="7" t="str">
        <f t="shared" ref="AB53:AH53" si="73">AA53</f>
        <v>无</v>
      </c>
      <c r="AC53" s="7" t="str">
        <f t="shared" si="73"/>
        <v>无</v>
      </c>
      <c r="AD53" s="7" t="str">
        <f t="shared" si="73"/>
        <v>无</v>
      </c>
      <c r="AE53" s="7" t="str">
        <f t="shared" si="73"/>
        <v>无</v>
      </c>
      <c r="AF53" s="7" t="str">
        <f t="shared" si="73"/>
        <v>无</v>
      </c>
      <c r="AG53" s="7" t="str">
        <f t="shared" si="73"/>
        <v>无</v>
      </c>
      <c r="AH53" s="7" t="str">
        <f t="shared" si="73"/>
        <v>无</v>
      </c>
      <c r="AI53" s="15">
        <v>1</v>
      </c>
      <c r="AJ53" s="15">
        <v>2</v>
      </c>
      <c r="AK53" s="15">
        <v>3</v>
      </c>
      <c r="AL53" s="15">
        <v>4</v>
      </c>
      <c r="AM53" s="15">
        <v>5</v>
      </c>
      <c r="AN53" s="15">
        <v>6</v>
      </c>
      <c r="AO53" s="15">
        <v>7</v>
      </c>
      <c r="AP53" s="15"/>
    </row>
    <row r="54" s="7" customFormat="1" hidden="1" spans="1:42">
      <c r="A54" s="15">
        <v>120027</v>
      </c>
      <c r="B54" s="15" t="s">
        <v>163</v>
      </c>
      <c r="C54" s="15" t="s">
        <v>163</v>
      </c>
      <c r="D54" s="17" t="s">
        <v>95</v>
      </c>
      <c r="E54" s="7">
        <v>2395</v>
      </c>
      <c r="F54" s="7">
        <v>-1</v>
      </c>
      <c r="G54" s="7">
        <v>0</v>
      </c>
      <c r="H54" s="7">
        <v>0</v>
      </c>
      <c r="I54" s="15" t="s">
        <v>43</v>
      </c>
      <c r="J54" s="7">
        <v>-1</v>
      </c>
      <c r="K54" s="7">
        <v>0</v>
      </c>
      <c r="L54" s="7">
        <v>0</v>
      </c>
      <c r="N54" s="24">
        <v>1</v>
      </c>
      <c r="O54" s="7">
        <v>1</v>
      </c>
      <c r="Q54" s="7" t="s">
        <v>149</v>
      </c>
      <c r="R54" s="7" t="s">
        <v>149</v>
      </c>
      <c r="S54" s="15">
        <v>24</v>
      </c>
      <c r="T54" s="7" t="str">
        <f t="shared" si="43"/>
        <v>必果</v>
      </c>
      <c r="U54" s="7" t="str">
        <f t="shared" ref="U54:Z54" si="74">T54</f>
        <v>必果</v>
      </c>
      <c r="V54" s="7" t="str">
        <f t="shared" si="74"/>
        <v>必果</v>
      </c>
      <c r="W54" s="7" t="str">
        <f t="shared" si="74"/>
        <v>必果</v>
      </c>
      <c r="X54" s="7" t="str">
        <f t="shared" si="74"/>
        <v>必果</v>
      </c>
      <c r="Y54" s="7" t="str">
        <f t="shared" si="74"/>
        <v>必果</v>
      </c>
      <c r="Z54" s="7" t="str">
        <f t="shared" si="74"/>
        <v>必果</v>
      </c>
      <c r="AA54" s="7" t="s">
        <v>81</v>
      </c>
      <c r="AB54" s="7" t="str">
        <f t="shared" ref="AB54:AH54" si="75">AA54</f>
        <v>无</v>
      </c>
      <c r="AC54" s="7" t="str">
        <f t="shared" si="75"/>
        <v>无</v>
      </c>
      <c r="AD54" s="7" t="str">
        <f t="shared" si="75"/>
        <v>无</v>
      </c>
      <c r="AE54" s="7" t="str">
        <f t="shared" si="75"/>
        <v>无</v>
      </c>
      <c r="AF54" s="7" t="str">
        <f t="shared" si="75"/>
        <v>无</v>
      </c>
      <c r="AG54" s="7" t="str">
        <f t="shared" si="75"/>
        <v>无</v>
      </c>
      <c r="AH54" s="7" t="str">
        <f t="shared" si="75"/>
        <v>无</v>
      </c>
      <c r="AI54" s="15">
        <v>1</v>
      </c>
      <c r="AJ54" s="15">
        <v>2</v>
      </c>
      <c r="AK54" s="15">
        <v>3</v>
      </c>
      <c r="AL54" s="15">
        <v>4</v>
      </c>
      <c r="AM54" s="15">
        <v>5</v>
      </c>
      <c r="AN54" s="15">
        <v>6</v>
      </c>
      <c r="AO54" s="15">
        <v>7</v>
      </c>
      <c r="AP54" s="15"/>
    </row>
    <row r="55" s="7" customFormat="1" hidden="1" spans="1:42">
      <c r="A55" s="15">
        <v>120028</v>
      </c>
      <c r="B55" s="15" t="s">
        <v>164</v>
      </c>
      <c r="C55" s="15" t="s">
        <v>164</v>
      </c>
      <c r="D55" s="16" t="s">
        <v>97</v>
      </c>
      <c r="E55" s="7">
        <v>2396</v>
      </c>
      <c r="F55" s="7">
        <v>-1</v>
      </c>
      <c r="G55" s="7">
        <v>0</v>
      </c>
      <c r="H55" s="7">
        <v>0</v>
      </c>
      <c r="I55" s="15" t="s">
        <v>43</v>
      </c>
      <c r="J55" s="7">
        <v>-1</v>
      </c>
      <c r="K55" s="7">
        <v>0</v>
      </c>
      <c r="L55" s="7">
        <v>0</v>
      </c>
      <c r="N55" s="24">
        <v>1</v>
      </c>
      <c r="O55" s="7">
        <v>1</v>
      </c>
      <c r="Q55" s="7" t="s">
        <v>149</v>
      </c>
      <c r="R55" s="7" t="s">
        <v>149</v>
      </c>
      <c r="S55" s="15">
        <v>25</v>
      </c>
      <c r="T55" s="7" t="str">
        <f t="shared" si="43"/>
        <v>精炼</v>
      </c>
      <c r="U55" s="7" t="str">
        <f t="shared" ref="U55:Z55" si="76">T55</f>
        <v>精炼</v>
      </c>
      <c r="V55" s="7" t="str">
        <f t="shared" si="76"/>
        <v>精炼</v>
      </c>
      <c r="W55" s="7" t="str">
        <f t="shared" si="76"/>
        <v>精炼</v>
      </c>
      <c r="X55" s="7" t="str">
        <f t="shared" si="76"/>
        <v>精炼</v>
      </c>
      <c r="Y55" s="7" t="str">
        <f t="shared" si="76"/>
        <v>精炼</v>
      </c>
      <c r="Z55" s="7" t="str">
        <f t="shared" si="76"/>
        <v>精炼</v>
      </c>
      <c r="AA55" s="7" t="s">
        <v>81</v>
      </c>
      <c r="AB55" s="7" t="str">
        <f t="shared" ref="AB55:AH55" si="77">AA55</f>
        <v>无</v>
      </c>
      <c r="AC55" s="7" t="str">
        <f t="shared" si="77"/>
        <v>无</v>
      </c>
      <c r="AD55" s="7" t="str">
        <f t="shared" si="77"/>
        <v>无</v>
      </c>
      <c r="AE55" s="7" t="str">
        <f t="shared" si="77"/>
        <v>无</v>
      </c>
      <c r="AF55" s="7" t="str">
        <f t="shared" si="77"/>
        <v>无</v>
      </c>
      <c r="AG55" s="7" t="str">
        <f t="shared" si="77"/>
        <v>无</v>
      </c>
      <c r="AH55" s="7" t="str">
        <f t="shared" si="77"/>
        <v>无</v>
      </c>
      <c r="AI55" s="15">
        <v>1</v>
      </c>
      <c r="AJ55" s="15">
        <v>2</v>
      </c>
      <c r="AK55" s="15">
        <v>3</v>
      </c>
      <c r="AL55" s="15">
        <v>4</v>
      </c>
      <c r="AM55" s="15">
        <v>5</v>
      </c>
      <c r="AN55" s="15">
        <v>6</v>
      </c>
      <c r="AO55" s="15">
        <v>7</v>
      </c>
      <c r="AP55" s="15"/>
    </row>
    <row r="56" s="7" customFormat="1" hidden="1" spans="1:42">
      <c r="A56" s="15">
        <v>120029</v>
      </c>
      <c r="B56" s="15" t="s">
        <v>165</v>
      </c>
      <c r="C56" s="15" t="s">
        <v>165</v>
      </c>
      <c r="D56" s="17" t="s">
        <v>89</v>
      </c>
      <c r="E56" s="7">
        <v>2397</v>
      </c>
      <c r="F56" s="7">
        <v>-1</v>
      </c>
      <c r="G56" s="7">
        <v>0</v>
      </c>
      <c r="H56" s="7">
        <v>0</v>
      </c>
      <c r="I56" s="15" t="s">
        <v>43</v>
      </c>
      <c r="J56" s="7">
        <v>-1</v>
      </c>
      <c r="K56" s="7">
        <v>0</v>
      </c>
      <c r="L56" s="7">
        <v>0</v>
      </c>
      <c r="N56" s="24">
        <v>1</v>
      </c>
      <c r="O56" s="7">
        <v>1</v>
      </c>
      <c r="Q56" s="7" t="s">
        <v>149</v>
      </c>
      <c r="R56" s="7" t="s">
        <v>149</v>
      </c>
      <c r="S56" s="15">
        <v>26</v>
      </c>
      <c r="T56" s="7" t="str">
        <f t="shared" si="43"/>
        <v>幻变</v>
      </c>
      <c r="U56" s="7" t="str">
        <f t="shared" ref="U56:Z56" si="78">T56</f>
        <v>幻变</v>
      </c>
      <c r="V56" s="7" t="str">
        <f t="shared" si="78"/>
        <v>幻变</v>
      </c>
      <c r="W56" s="7" t="str">
        <f t="shared" si="78"/>
        <v>幻变</v>
      </c>
      <c r="X56" s="7" t="str">
        <f t="shared" si="78"/>
        <v>幻变</v>
      </c>
      <c r="Y56" s="7" t="str">
        <f t="shared" si="78"/>
        <v>幻变</v>
      </c>
      <c r="Z56" s="7" t="str">
        <f t="shared" si="78"/>
        <v>幻变</v>
      </c>
      <c r="AA56" s="7" t="s">
        <v>81</v>
      </c>
      <c r="AB56" s="7" t="str">
        <f t="shared" ref="AB56:AH56" si="79">AA56</f>
        <v>无</v>
      </c>
      <c r="AC56" s="7" t="str">
        <f t="shared" si="79"/>
        <v>无</v>
      </c>
      <c r="AD56" s="7" t="str">
        <f t="shared" si="79"/>
        <v>无</v>
      </c>
      <c r="AE56" s="7" t="str">
        <f t="shared" si="79"/>
        <v>无</v>
      </c>
      <c r="AF56" s="7" t="str">
        <f t="shared" si="79"/>
        <v>无</v>
      </c>
      <c r="AG56" s="7" t="str">
        <f t="shared" si="79"/>
        <v>无</v>
      </c>
      <c r="AH56" s="7" t="str">
        <f t="shared" si="79"/>
        <v>无</v>
      </c>
      <c r="AI56" s="15">
        <v>1</v>
      </c>
      <c r="AJ56" s="15">
        <v>2</v>
      </c>
      <c r="AK56" s="15">
        <v>3</v>
      </c>
      <c r="AL56" s="15">
        <v>4</v>
      </c>
      <c r="AM56" s="15">
        <v>5</v>
      </c>
      <c r="AN56" s="15">
        <v>6</v>
      </c>
      <c r="AO56" s="15">
        <v>7</v>
      </c>
      <c r="AP56" s="15"/>
    </row>
    <row r="57" s="7" customFormat="1" hidden="1" spans="1:42">
      <c r="A57" s="15">
        <v>120030</v>
      </c>
      <c r="B57" s="15" t="s">
        <v>166</v>
      </c>
      <c r="C57" s="15" t="s">
        <v>166</v>
      </c>
      <c r="D57" s="17" t="s">
        <v>103</v>
      </c>
      <c r="E57" s="7">
        <v>2398</v>
      </c>
      <c r="F57" s="7">
        <v>-1</v>
      </c>
      <c r="G57" s="7">
        <v>0</v>
      </c>
      <c r="H57" s="7">
        <v>0</v>
      </c>
      <c r="I57" s="15" t="s">
        <v>43</v>
      </c>
      <c r="J57" s="7">
        <v>-1</v>
      </c>
      <c r="K57" s="7">
        <v>0</v>
      </c>
      <c r="L57" s="7">
        <v>0</v>
      </c>
      <c r="N57" s="24">
        <v>1</v>
      </c>
      <c r="O57" s="7">
        <v>1</v>
      </c>
      <c r="Q57" s="7" t="s">
        <v>149</v>
      </c>
      <c r="R57" s="7" t="s">
        <v>149</v>
      </c>
      <c r="S57" s="15">
        <v>27</v>
      </c>
      <c r="T57" s="7" t="str">
        <f t="shared" si="43"/>
        <v>专神</v>
      </c>
      <c r="U57" s="7" t="str">
        <f t="shared" ref="U57:Z57" si="80">T57</f>
        <v>专神</v>
      </c>
      <c r="V57" s="7" t="str">
        <f t="shared" si="80"/>
        <v>专神</v>
      </c>
      <c r="W57" s="7" t="str">
        <f t="shared" si="80"/>
        <v>专神</v>
      </c>
      <c r="X57" s="7" t="str">
        <f t="shared" si="80"/>
        <v>专神</v>
      </c>
      <c r="Y57" s="7" t="str">
        <f t="shared" si="80"/>
        <v>专神</v>
      </c>
      <c r="Z57" s="7" t="str">
        <f t="shared" si="80"/>
        <v>专神</v>
      </c>
      <c r="AA57" s="7" t="s">
        <v>81</v>
      </c>
      <c r="AB57" s="7" t="str">
        <f t="shared" ref="AB57:AH57" si="81">AA57</f>
        <v>无</v>
      </c>
      <c r="AC57" s="7" t="str">
        <f t="shared" si="81"/>
        <v>无</v>
      </c>
      <c r="AD57" s="7" t="str">
        <f t="shared" si="81"/>
        <v>无</v>
      </c>
      <c r="AE57" s="7" t="str">
        <f t="shared" si="81"/>
        <v>无</v>
      </c>
      <c r="AF57" s="7" t="str">
        <f t="shared" si="81"/>
        <v>无</v>
      </c>
      <c r="AG57" s="7" t="str">
        <f t="shared" si="81"/>
        <v>无</v>
      </c>
      <c r="AH57" s="7" t="str">
        <f t="shared" si="81"/>
        <v>无</v>
      </c>
      <c r="AI57" s="15">
        <v>1</v>
      </c>
      <c r="AJ57" s="15">
        <v>2</v>
      </c>
      <c r="AK57" s="15">
        <v>3</v>
      </c>
      <c r="AL57" s="15">
        <v>4</v>
      </c>
      <c r="AM57" s="15">
        <v>5</v>
      </c>
      <c r="AN57" s="15">
        <v>6</v>
      </c>
      <c r="AO57" s="15">
        <v>7</v>
      </c>
      <c r="AP57" s="15"/>
    </row>
    <row r="58" s="7" customFormat="1" hidden="1" spans="1:42">
      <c r="A58" s="15">
        <v>120031</v>
      </c>
      <c r="B58" s="15" t="s">
        <v>167</v>
      </c>
      <c r="C58" s="15" t="s">
        <v>167</v>
      </c>
      <c r="D58" s="17" t="s">
        <v>95</v>
      </c>
      <c r="E58" s="7">
        <v>2399</v>
      </c>
      <c r="F58" s="7">
        <v>-1</v>
      </c>
      <c r="G58" s="7">
        <v>0</v>
      </c>
      <c r="H58" s="7">
        <v>0</v>
      </c>
      <c r="I58" s="15" t="s">
        <v>43</v>
      </c>
      <c r="J58" s="7">
        <v>-1</v>
      </c>
      <c r="K58" s="7">
        <v>0</v>
      </c>
      <c r="L58" s="7">
        <v>0</v>
      </c>
      <c r="N58" s="24">
        <v>1</v>
      </c>
      <c r="O58" s="7">
        <v>1</v>
      </c>
      <c r="Q58" s="7" t="s">
        <v>149</v>
      </c>
      <c r="R58" s="7" t="s">
        <v>149</v>
      </c>
      <c r="S58" s="15">
        <v>28</v>
      </c>
      <c r="T58" s="7" t="str">
        <f t="shared" si="43"/>
        <v>碎甲</v>
      </c>
      <c r="U58" s="7" t="str">
        <f t="shared" ref="U58:Z58" si="82">T58</f>
        <v>碎甲</v>
      </c>
      <c r="V58" s="7" t="str">
        <f t="shared" si="82"/>
        <v>碎甲</v>
      </c>
      <c r="W58" s="7" t="str">
        <f t="shared" si="82"/>
        <v>碎甲</v>
      </c>
      <c r="X58" s="7" t="str">
        <f t="shared" si="82"/>
        <v>碎甲</v>
      </c>
      <c r="Y58" s="7" t="str">
        <f t="shared" si="82"/>
        <v>碎甲</v>
      </c>
      <c r="Z58" s="7" t="str">
        <f t="shared" si="82"/>
        <v>碎甲</v>
      </c>
      <c r="AA58" s="7" t="s">
        <v>81</v>
      </c>
      <c r="AB58" s="7" t="str">
        <f t="shared" ref="AB58:AH58" si="83">AA58</f>
        <v>无</v>
      </c>
      <c r="AC58" s="7" t="str">
        <f t="shared" si="83"/>
        <v>无</v>
      </c>
      <c r="AD58" s="7" t="str">
        <f t="shared" si="83"/>
        <v>无</v>
      </c>
      <c r="AE58" s="7" t="str">
        <f t="shared" si="83"/>
        <v>无</v>
      </c>
      <c r="AF58" s="7" t="str">
        <f t="shared" si="83"/>
        <v>无</v>
      </c>
      <c r="AG58" s="7" t="str">
        <f t="shared" si="83"/>
        <v>无</v>
      </c>
      <c r="AH58" s="7" t="str">
        <f t="shared" si="83"/>
        <v>无</v>
      </c>
      <c r="AI58" s="15">
        <v>1</v>
      </c>
      <c r="AJ58" s="15">
        <v>2</v>
      </c>
      <c r="AK58" s="15">
        <v>3</v>
      </c>
      <c r="AL58" s="15">
        <v>4</v>
      </c>
      <c r="AM58" s="15">
        <v>5</v>
      </c>
      <c r="AN58" s="15">
        <v>6</v>
      </c>
      <c r="AO58" s="15">
        <v>7</v>
      </c>
      <c r="AP58" s="15"/>
    </row>
    <row r="59" s="7" customFormat="1" hidden="1" spans="1:42">
      <c r="A59" s="15">
        <v>120032</v>
      </c>
      <c r="B59" s="15" t="s">
        <v>168</v>
      </c>
      <c r="C59" s="15" t="s">
        <v>168</v>
      </c>
      <c r="D59" s="20" t="s">
        <v>113</v>
      </c>
      <c r="E59" s="7">
        <v>2380</v>
      </c>
      <c r="F59" s="7">
        <v>-1</v>
      </c>
      <c r="G59" s="7">
        <v>0</v>
      </c>
      <c r="H59" s="7">
        <v>0</v>
      </c>
      <c r="I59" s="15" t="s">
        <v>43</v>
      </c>
      <c r="J59" s="7">
        <v>-1</v>
      </c>
      <c r="K59" s="7">
        <v>0</v>
      </c>
      <c r="L59" s="7">
        <v>0</v>
      </c>
      <c r="N59" s="24">
        <v>1</v>
      </c>
      <c r="O59" s="7">
        <v>1</v>
      </c>
      <c r="Q59" s="7" t="s">
        <v>149</v>
      </c>
      <c r="R59" s="7" t="s">
        <v>149</v>
      </c>
      <c r="S59" s="15">
        <v>29</v>
      </c>
      <c r="T59" s="7" t="str">
        <f t="shared" si="43"/>
        <v>拘灵散修</v>
      </c>
      <c r="U59" s="7" t="str">
        <f t="shared" ref="U59:Z59" si="84">T59</f>
        <v>拘灵散修</v>
      </c>
      <c r="V59" s="7" t="str">
        <f t="shared" si="84"/>
        <v>拘灵散修</v>
      </c>
      <c r="W59" s="7" t="str">
        <f t="shared" si="84"/>
        <v>拘灵散修</v>
      </c>
      <c r="X59" s="7" t="str">
        <f t="shared" si="84"/>
        <v>拘灵散修</v>
      </c>
      <c r="Y59" s="7" t="str">
        <f t="shared" si="84"/>
        <v>拘灵散修</v>
      </c>
      <c r="Z59" s="7" t="str">
        <f t="shared" si="84"/>
        <v>拘灵散修</v>
      </c>
      <c r="AA59" s="7" t="s">
        <v>81</v>
      </c>
      <c r="AB59" s="7" t="str">
        <f t="shared" ref="AB59:AH59" si="85">AA59</f>
        <v>无</v>
      </c>
      <c r="AC59" s="7" t="str">
        <f t="shared" si="85"/>
        <v>无</v>
      </c>
      <c r="AD59" s="7" t="str">
        <f t="shared" si="85"/>
        <v>无</v>
      </c>
      <c r="AE59" s="7" t="str">
        <f t="shared" si="85"/>
        <v>无</v>
      </c>
      <c r="AF59" s="7" t="str">
        <f t="shared" si="85"/>
        <v>无</v>
      </c>
      <c r="AG59" s="7" t="str">
        <f t="shared" si="85"/>
        <v>无</v>
      </c>
      <c r="AH59" s="7" t="str">
        <f t="shared" si="85"/>
        <v>无</v>
      </c>
      <c r="AI59" s="15">
        <v>1</v>
      </c>
      <c r="AJ59" s="15">
        <v>2</v>
      </c>
      <c r="AK59" s="15">
        <v>3</v>
      </c>
      <c r="AL59" s="15">
        <v>4</v>
      </c>
      <c r="AM59" s="15">
        <v>5</v>
      </c>
      <c r="AN59" s="15">
        <v>6</v>
      </c>
      <c r="AO59" s="15">
        <v>7</v>
      </c>
      <c r="AP59" s="15"/>
    </row>
    <row r="60" s="1" customFormat="1" spans="1:42">
      <c r="A60" s="2">
        <v>130000</v>
      </c>
      <c r="B60" s="3" t="s">
        <v>169</v>
      </c>
      <c r="C60" s="3" t="s">
        <v>169</v>
      </c>
      <c r="D60" s="4" t="s">
        <v>170</v>
      </c>
      <c r="E60" s="1">
        <v>33</v>
      </c>
      <c r="F60" s="1">
        <v>-1</v>
      </c>
      <c r="G60" s="1">
        <v>0</v>
      </c>
      <c r="H60" s="1">
        <v>0</v>
      </c>
      <c r="I60" s="5" t="s">
        <v>43</v>
      </c>
      <c r="J60" s="1">
        <v>-1</v>
      </c>
      <c r="K60" s="1">
        <v>0</v>
      </c>
      <c r="L60" s="1">
        <v>0</v>
      </c>
      <c r="N60" s="6">
        <v>1</v>
      </c>
      <c r="O60" s="1">
        <v>1</v>
      </c>
      <c r="Q60" s="4" t="s">
        <v>171</v>
      </c>
      <c r="R60" s="4" t="s">
        <v>172</v>
      </c>
      <c r="S60" s="5">
        <v>0</v>
      </c>
      <c r="T60" s="4" t="s">
        <v>172</v>
      </c>
      <c r="U60" s="4" t="s">
        <v>172</v>
      </c>
      <c r="V60" s="4" t="s">
        <v>172</v>
      </c>
      <c r="W60" s="4" t="s">
        <v>172</v>
      </c>
      <c r="X60" s="4" t="s">
        <v>172</v>
      </c>
      <c r="Y60" s="4" t="s">
        <v>172</v>
      </c>
      <c r="Z60" s="4" t="s">
        <v>172</v>
      </c>
      <c r="AA60" s="4" t="s">
        <v>173</v>
      </c>
      <c r="AB60" s="4" t="s">
        <v>173</v>
      </c>
      <c r="AC60" s="4" t="s">
        <v>173</v>
      </c>
      <c r="AD60" s="4" t="s">
        <v>173</v>
      </c>
      <c r="AE60" s="4" t="s">
        <v>173</v>
      </c>
      <c r="AF60" s="4" t="s">
        <v>173</v>
      </c>
      <c r="AG60" s="4" t="s">
        <v>173</v>
      </c>
      <c r="AH60" s="4" t="s">
        <v>173</v>
      </c>
      <c r="AI60" s="1">
        <v>1</v>
      </c>
      <c r="AJ60" s="1">
        <v>60</v>
      </c>
      <c r="AK60" s="1">
        <v>90</v>
      </c>
      <c r="AL60" s="1">
        <v>200</v>
      </c>
      <c r="AM60" s="1">
        <v>200</v>
      </c>
      <c r="AN60" s="1">
        <v>200</v>
      </c>
      <c r="AO60" s="1">
        <v>200</v>
      </c>
      <c r="AP60" s="5"/>
    </row>
    <row r="61" s="1" customFormat="1" spans="1:42">
      <c r="A61" s="2">
        <v>130001</v>
      </c>
      <c r="B61" s="3" t="s">
        <v>174</v>
      </c>
      <c r="C61" s="3" t="s">
        <v>174</v>
      </c>
      <c r="D61" s="4" t="s">
        <v>175</v>
      </c>
      <c r="E61" s="1">
        <v>34</v>
      </c>
      <c r="F61" s="1">
        <v>100</v>
      </c>
      <c r="G61" s="1">
        <v>1.2</v>
      </c>
      <c r="H61" s="1">
        <v>10</v>
      </c>
      <c r="I61" s="5" t="s">
        <v>49</v>
      </c>
      <c r="J61" s="1">
        <v>-1</v>
      </c>
      <c r="K61" s="1">
        <v>0</v>
      </c>
      <c r="L61" s="1">
        <v>0</v>
      </c>
      <c r="N61" s="6">
        <v>480</v>
      </c>
      <c r="O61" s="1">
        <v>1</v>
      </c>
      <c r="Q61" s="4" t="s">
        <v>175</v>
      </c>
      <c r="R61" s="4" t="s">
        <v>176</v>
      </c>
      <c r="S61" s="5">
        <v>1</v>
      </c>
      <c r="T61" s="4" t="s">
        <v>176</v>
      </c>
      <c r="U61" s="4" t="s">
        <v>176</v>
      </c>
      <c r="V61" s="4" t="s">
        <v>176</v>
      </c>
      <c r="W61" s="4" t="s">
        <v>176</v>
      </c>
      <c r="X61" s="4" t="s">
        <v>176</v>
      </c>
      <c r="Y61" s="4" t="s">
        <v>176</v>
      </c>
      <c r="Z61" s="4" t="s">
        <v>176</v>
      </c>
      <c r="AA61" s="4" t="s">
        <v>177</v>
      </c>
      <c r="AB61" s="4" t="s">
        <v>178</v>
      </c>
      <c r="AC61" s="4" t="s">
        <v>179</v>
      </c>
      <c r="AD61" s="4" t="s">
        <v>179</v>
      </c>
      <c r="AE61" s="4" t="s">
        <v>179</v>
      </c>
      <c r="AF61" s="4" t="s">
        <v>179</v>
      </c>
      <c r="AG61" s="4" t="s">
        <v>179</v>
      </c>
      <c r="AH61" s="4" t="s">
        <v>179</v>
      </c>
      <c r="AI61" s="1">
        <v>1</v>
      </c>
      <c r="AJ61" s="1">
        <v>50</v>
      </c>
      <c r="AK61" s="1">
        <v>70</v>
      </c>
      <c r="AL61" s="1">
        <v>90</v>
      </c>
      <c r="AM61" s="1">
        <v>200</v>
      </c>
      <c r="AN61" s="1">
        <v>200</v>
      </c>
      <c r="AO61" s="1">
        <v>200</v>
      </c>
      <c r="AP61" s="5"/>
    </row>
    <row r="62" s="1" customFormat="1" spans="1:42">
      <c r="A62" s="2">
        <v>130002</v>
      </c>
      <c r="B62" s="3" t="s">
        <v>180</v>
      </c>
      <c r="C62" s="3" t="s">
        <v>180</v>
      </c>
      <c r="D62" s="4" t="s">
        <v>181</v>
      </c>
      <c r="E62" s="1">
        <v>35</v>
      </c>
      <c r="F62" s="1">
        <v>100</v>
      </c>
      <c r="G62" s="1">
        <v>1.2</v>
      </c>
      <c r="H62" s="1">
        <v>10</v>
      </c>
      <c r="I62" s="5" t="s">
        <v>49</v>
      </c>
      <c r="J62" s="1">
        <v>-1</v>
      </c>
      <c r="K62" s="1">
        <v>0</v>
      </c>
      <c r="L62" s="1">
        <v>0</v>
      </c>
      <c r="N62" s="6">
        <v>480</v>
      </c>
      <c r="O62" s="1">
        <v>1</v>
      </c>
      <c r="Q62" s="4" t="s">
        <v>181</v>
      </c>
      <c r="R62" s="4" t="s">
        <v>182</v>
      </c>
      <c r="S62" s="5">
        <v>2</v>
      </c>
      <c r="T62" s="4" t="s">
        <v>182</v>
      </c>
      <c r="U62" s="4" t="s">
        <v>182</v>
      </c>
      <c r="V62" s="4" t="s">
        <v>182</v>
      </c>
      <c r="W62" s="4" t="s">
        <v>182</v>
      </c>
      <c r="X62" s="4" t="s">
        <v>182</v>
      </c>
      <c r="Y62" s="4" t="s">
        <v>182</v>
      </c>
      <c r="Z62" s="4" t="s">
        <v>182</v>
      </c>
      <c r="AA62" s="4" t="s">
        <v>183</v>
      </c>
      <c r="AB62" s="4" t="s">
        <v>183</v>
      </c>
      <c r="AC62" s="4" t="s">
        <v>183</v>
      </c>
      <c r="AD62" s="4" t="s">
        <v>183</v>
      </c>
      <c r="AE62" s="4" t="s">
        <v>183</v>
      </c>
      <c r="AF62" s="4" t="s">
        <v>183</v>
      </c>
      <c r="AG62" s="4" t="s">
        <v>183</v>
      </c>
      <c r="AH62" s="4" t="s">
        <v>183</v>
      </c>
      <c r="AI62" s="1">
        <v>1</v>
      </c>
      <c r="AJ62" s="1">
        <v>200</v>
      </c>
      <c r="AK62" s="1">
        <v>200</v>
      </c>
      <c r="AL62" s="1">
        <v>200</v>
      </c>
      <c r="AM62" s="1">
        <v>200</v>
      </c>
      <c r="AN62" s="1">
        <v>200</v>
      </c>
      <c r="AO62" s="1">
        <v>200</v>
      </c>
      <c r="AP62" s="5"/>
    </row>
    <row r="63" s="1" customFormat="1" spans="1:42">
      <c r="A63" s="2">
        <v>130003</v>
      </c>
      <c r="B63" s="3" t="s">
        <v>184</v>
      </c>
      <c r="C63" s="3" t="s">
        <v>184</v>
      </c>
      <c r="D63" s="4" t="s">
        <v>185</v>
      </c>
      <c r="E63" s="1">
        <v>36</v>
      </c>
      <c r="F63" s="1">
        <v>100</v>
      </c>
      <c r="G63" s="1">
        <v>1.2</v>
      </c>
      <c r="H63" s="1">
        <v>10</v>
      </c>
      <c r="I63" s="5" t="s">
        <v>49</v>
      </c>
      <c r="J63" s="1">
        <v>-1</v>
      </c>
      <c r="K63" s="1">
        <v>0</v>
      </c>
      <c r="L63" s="1">
        <v>0</v>
      </c>
      <c r="N63" s="6">
        <v>4127</v>
      </c>
      <c r="O63" s="1">
        <v>1</v>
      </c>
      <c r="Q63" s="4" t="s">
        <v>185</v>
      </c>
      <c r="R63" s="4" t="s">
        <v>186</v>
      </c>
      <c r="S63" s="5">
        <v>3</v>
      </c>
      <c r="T63" s="4" t="s">
        <v>186</v>
      </c>
      <c r="U63" s="4" t="s">
        <v>186</v>
      </c>
      <c r="V63" s="4" t="s">
        <v>186</v>
      </c>
      <c r="W63" s="4" t="s">
        <v>186</v>
      </c>
      <c r="X63" s="4" t="s">
        <v>186</v>
      </c>
      <c r="Y63" s="4" t="s">
        <v>186</v>
      </c>
      <c r="Z63" s="4" t="s">
        <v>186</v>
      </c>
      <c r="AA63" s="4" t="s">
        <v>187</v>
      </c>
      <c r="AB63" s="4" t="s">
        <v>187</v>
      </c>
      <c r="AC63" s="4" t="s">
        <v>187</v>
      </c>
      <c r="AD63" s="4" t="s">
        <v>187</v>
      </c>
      <c r="AE63" s="4" t="s">
        <v>187</v>
      </c>
      <c r="AF63" s="4" t="s">
        <v>187</v>
      </c>
      <c r="AG63" s="4" t="s">
        <v>187</v>
      </c>
      <c r="AH63" s="4" t="s">
        <v>187</v>
      </c>
      <c r="AI63" s="1">
        <v>1</v>
      </c>
      <c r="AJ63" s="1">
        <v>60</v>
      </c>
      <c r="AK63" s="1">
        <v>90</v>
      </c>
      <c r="AL63" s="1">
        <v>200</v>
      </c>
      <c r="AM63" s="1">
        <v>200</v>
      </c>
      <c r="AN63" s="1">
        <v>200</v>
      </c>
      <c r="AO63" s="1">
        <v>200</v>
      </c>
      <c r="AP63" s="5"/>
    </row>
    <row r="64" s="1" customFormat="1" spans="1:42">
      <c r="A64" s="2">
        <v>130004</v>
      </c>
      <c r="B64" s="3" t="s">
        <v>188</v>
      </c>
      <c r="C64" s="3" t="s">
        <v>188</v>
      </c>
      <c r="D64" s="4" t="s">
        <v>189</v>
      </c>
      <c r="E64" s="1">
        <v>37</v>
      </c>
      <c r="F64" s="1">
        <v>100</v>
      </c>
      <c r="G64" s="1">
        <v>1.2</v>
      </c>
      <c r="H64" s="1">
        <v>10</v>
      </c>
      <c r="I64" s="5" t="s">
        <v>49</v>
      </c>
      <c r="J64" s="1">
        <v>-1</v>
      </c>
      <c r="K64" s="1">
        <v>0</v>
      </c>
      <c r="L64" s="1">
        <v>0</v>
      </c>
      <c r="N64" s="6">
        <v>480</v>
      </c>
      <c r="O64" s="1">
        <v>1</v>
      </c>
      <c r="Q64" s="4" t="s">
        <v>189</v>
      </c>
      <c r="R64" s="4" t="s">
        <v>190</v>
      </c>
      <c r="S64" s="5">
        <v>4</v>
      </c>
      <c r="T64" s="4" t="s">
        <v>190</v>
      </c>
      <c r="U64" s="4" t="s">
        <v>190</v>
      </c>
      <c r="V64" s="4" t="s">
        <v>190</v>
      </c>
      <c r="W64" s="4" t="s">
        <v>190</v>
      </c>
      <c r="X64" s="4" t="s">
        <v>190</v>
      </c>
      <c r="Y64" s="4" t="s">
        <v>190</v>
      </c>
      <c r="Z64" s="4" t="s">
        <v>190</v>
      </c>
      <c r="AA64" s="4" t="s">
        <v>191</v>
      </c>
      <c r="AB64" s="4" t="s">
        <v>191</v>
      </c>
      <c r="AC64" s="4" t="s">
        <v>191</v>
      </c>
      <c r="AD64" s="4" t="s">
        <v>191</v>
      </c>
      <c r="AE64" s="4" t="s">
        <v>191</v>
      </c>
      <c r="AF64" s="4" t="s">
        <v>191</v>
      </c>
      <c r="AG64" s="4" t="s">
        <v>191</v>
      </c>
      <c r="AH64" s="4" t="s">
        <v>191</v>
      </c>
      <c r="AI64" s="1">
        <v>1</v>
      </c>
      <c r="AJ64" s="1">
        <v>200</v>
      </c>
      <c r="AK64" s="1">
        <v>200</v>
      </c>
      <c r="AL64" s="1">
        <v>200</v>
      </c>
      <c r="AM64" s="1">
        <v>200</v>
      </c>
      <c r="AN64" s="1">
        <v>200</v>
      </c>
      <c r="AO64" s="1">
        <v>200</v>
      </c>
      <c r="AP64" s="5"/>
    </row>
    <row r="65" s="1" customFormat="1" spans="1:42">
      <c r="A65" s="2">
        <v>130005</v>
      </c>
      <c r="B65" s="3" t="s">
        <v>192</v>
      </c>
      <c r="C65" s="3" t="s">
        <v>192</v>
      </c>
      <c r="D65" s="4" t="s">
        <v>193</v>
      </c>
      <c r="E65" s="1">
        <v>38</v>
      </c>
      <c r="F65" s="1">
        <v>100</v>
      </c>
      <c r="G65" s="1">
        <v>1.2</v>
      </c>
      <c r="H65" s="1">
        <v>10</v>
      </c>
      <c r="I65" s="5" t="s">
        <v>49</v>
      </c>
      <c r="J65" s="1">
        <v>-1</v>
      </c>
      <c r="K65" s="1">
        <v>0</v>
      </c>
      <c r="L65" s="1">
        <v>0</v>
      </c>
      <c r="N65" s="6">
        <v>480</v>
      </c>
      <c r="O65" s="1">
        <v>1</v>
      </c>
      <c r="Q65" s="4" t="s">
        <v>193</v>
      </c>
      <c r="R65" s="4" t="s">
        <v>194</v>
      </c>
      <c r="S65" s="5">
        <v>5</v>
      </c>
      <c r="T65" s="4" t="s">
        <v>194</v>
      </c>
      <c r="U65" s="4" t="s">
        <v>194</v>
      </c>
      <c r="V65" s="4" t="s">
        <v>194</v>
      </c>
      <c r="W65" s="4" t="s">
        <v>194</v>
      </c>
      <c r="X65" s="4" t="s">
        <v>194</v>
      </c>
      <c r="Y65" s="4" t="s">
        <v>194</v>
      </c>
      <c r="Z65" s="4" t="s">
        <v>194</v>
      </c>
      <c r="AA65" s="4" t="s">
        <v>195</v>
      </c>
      <c r="AB65" s="4" t="s">
        <v>195</v>
      </c>
      <c r="AC65" s="4" t="s">
        <v>196</v>
      </c>
      <c r="AD65" s="4" t="s">
        <v>196</v>
      </c>
      <c r="AE65" s="4" t="s">
        <v>196</v>
      </c>
      <c r="AF65" s="4" t="s">
        <v>196</v>
      </c>
      <c r="AG65" s="4" t="s">
        <v>196</v>
      </c>
      <c r="AH65" s="4" t="s">
        <v>196</v>
      </c>
      <c r="AI65" s="1">
        <v>1</v>
      </c>
      <c r="AJ65" s="1">
        <v>60</v>
      </c>
      <c r="AK65" s="1">
        <v>70</v>
      </c>
      <c r="AL65" s="1">
        <v>90</v>
      </c>
      <c r="AM65" s="1">
        <v>200</v>
      </c>
      <c r="AN65" s="1">
        <v>200</v>
      </c>
      <c r="AO65" s="1">
        <v>200</v>
      </c>
      <c r="AP65" s="5"/>
    </row>
    <row r="66" s="1" customFormat="1" spans="1:42">
      <c r="A66" s="2">
        <v>130006</v>
      </c>
      <c r="B66" s="3" t="s">
        <v>197</v>
      </c>
      <c r="C66" s="3" t="s">
        <v>197</v>
      </c>
      <c r="D66" s="4" t="s">
        <v>198</v>
      </c>
      <c r="E66" s="1">
        <v>39</v>
      </c>
      <c r="F66" s="1">
        <v>-1</v>
      </c>
      <c r="G66" s="1">
        <v>0.667</v>
      </c>
      <c r="H66" s="1">
        <v>6</v>
      </c>
      <c r="I66" s="5" t="s">
        <v>71</v>
      </c>
      <c r="J66" s="1">
        <v>-1</v>
      </c>
      <c r="K66" s="1">
        <v>0</v>
      </c>
      <c r="L66" s="1">
        <v>0</v>
      </c>
      <c r="N66" s="6">
        <v>1</v>
      </c>
      <c r="O66" s="1">
        <v>1</v>
      </c>
      <c r="Q66" s="4" t="s">
        <v>198</v>
      </c>
      <c r="R66" s="4" t="s">
        <v>199</v>
      </c>
      <c r="S66" s="5">
        <v>6</v>
      </c>
      <c r="T66" s="4" t="s">
        <v>199</v>
      </c>
      <c r="U66" s="4" t="s">
        <v>199</v>
      </c>
      <c r="V66" s="4" t="s">
        <v>199</v>
      </c>
      <c r="W66" s="4" t="s">
        <v>199</v>
      </c>
      <c r="X66" s="4" t="s">
        <v>199</v>
      </c>
      <c r="Y66" s="4" t="s">
        <v>199</v>
      </c>
      <c r="Z66" s="4" t="s">
        <v>199</v>
      </c>
      <c r="AA66" s="4" t="s">
        <v>200</v>
      </c>
      <c r="AB66" s="4" t="s">
        <v>200</v>
      </c>
      <c r="AC66" s="4" t="s">
        <v>200</v>
      </c>
      <c r="AD66" s="4" t="s">
        <v>200</v>
      </c>
      <c r="AE66" s="4" t="s">
        <v>200</v>
      </c>
      <c r="AF66" s="4" t="s">
        <v>200</v>
      </c>
      <c r="AG66" s="4" t="s">
        <v>200</v>
      </c>
      <c r="AH66" s="4" t="s">
        <v>200</v>
      </c>
      <c r="AI66" s="1">
        <v>1</v>
      </c>
      <c r="AJ66" s="1">
        <v>200</v>
      </c>
      <c r="AK66" s="1">
        <v>200</v>
      </c>
      <c r="AL66" s="1">
        <v>200</v>
      </c>
      <c r="AM66" s="1">
        <v>200</v>
      </c>
      <c r="AN66" s="1">
        <v>200</v>
      </c>
      <c r="AO66" s="1">
        <v>200</v>
      </c>
      <c r="AP66" s="5"/>
    </row>
    <row r="67" s="1" customFormat="1" spans="1:42">
      <c r="A67" s="2">
        <v>130007</v>
      </c>
      <c r="B67" s="3" t="s">
        <v>201</v>
      </c>
      <c r="C67" s="3" t="s">
        <v>201</v>
      </c>
      <c r="D67" s="4" t="s">
        <v>202</v>
      </c>
      <c r="E67" s="1">
        <v>40</v>
      </c>
      <c r="F67" s="1">
        <v>120</v>
      </c>
      <c r="G67" s="1">
        <v>0</v>
      </c>
      <c r="H67" s="1">
        <v>120</v>
      </c>
      <c r="I67" s="5" t="s">
        <v>76</v>
      </c>
      <c r="J67" s="1">
        <v>-1</v>
      </c>
      <c r="K67" s="1">
        <v>0</v>
      </c>
      <c r="L67" s="1">
        <v>0</v>
      </c>
      <c r="N67" s="6">
        <v>480</v>
      </c>
      <c r="O67" s="1">
        <v>1</v>
      </c>
      <c r="Q67" s="4" t="s">
        <v>203</v>
      </c>
      <c r="R67" s="4" t="s">
        <v>204</v>
      </c>
      <c r="S67" s="5">
        <v>7</v>
      </c>
      <c r="T67" s="4" t="s">
        <v>204</v>
      </c>
      <c r="U67" s="4" t="s">
        <v>204</v>
      </c>
      <c r="V67" s="4" t="s">
        <v>204</v>
      </c>
      <c r="W67" s="4" t="s">
        <v>204</v>
      </c>
      <c r="X67" s="4" t="s">
        <v>204</v>
      </c>
      <c r="Y67" s="4" t="s">
        <v>204</v>
      </c>
      <c r="Z67" s="4" t="s">
        <v>204</v>
      </c>
      <c r="AA67" s="4" t="s">
        <v>78</v>
      </c>
      <c r="AB67" s="4" t="s">
        <v>78</v>
      </c>
      <c r="AC67" s="4" t="s">
        <v>78</v>
      </c>
      <c r="AD67" s="4" t="s">
        <v>78</v>
      </c>
      <c r="AE67" s="4" t="s">
        <v>78</v>
      </c>
      <c r="AF67" s="4" t="s">
        <v>78</v>
      </c>
      <c r="AG67" s="4" t="s">
        <v>78</v>
      </c>
      <c r="AH67" s="4" t="s">
        <v>78</v>
      </c>
      <c r="AI67" s="1">
        <v>1</v>
      </c>
      <c r="AJ67" s="1">
        <v>2</v>
      </c>
      <c r="AK67" s="1">
        <v>3</v>
      </c>
      <c r="AL67" s="1">
        <v>4</v>
      </c>
      <c r="AM67" s="1">
        <v>5</v>
      </c>
      <c r="AN67" s="1">
        <v>6</v>
      </c>
      <c r="AO67" s="1">
        <v>7</v>
      </c>
      <c r="AP67" s="5"/>
    </row>
    <row r="68" s="7" customFormat="1" hidden="1" spans="1:42">
      <c r="A68" s="15">
        <v>130012</v>
      </c>
      <c r="B68" s="15" t="s">
        <v>205</v>
      </c>
      <c r="C68" s="15" t="s">
        <v>205</v>
      </c>
      <c r="D68" s="16" t="s">
        <v>80</v>
      </c>
      <c r="E68" s="7">
        <v>2400</v>
      </c>
      <c r="F68" s="7">
        <v>-1</v>
      </c>
      <c r="G68" s="7">
        <v>0</v>
      </c>
      <c r="H68" s="7">
        <v>0</v>
      </c>
      <c r="I68" s="15" t="s">
        <v>43</v>
      </c>
      <c r="J68" s="7">
        <v>-1</v>
      </c>
      <c r="K68" s="7">
        <v>0</v>
      </c>
      <c r="L68" s="7">
        <v>0</v>
      </c>
      <c r="N68" s="24">
        <v>1</v>
      </c>
      <c r="O68" s="7">
        <v>1</v>
      </c>
      <c r="Q68" s="7" t="s">
        <v>149</v>
      </c>
      <c r="R68" s="7" t="s">
        <v>149</v>
      </c>
      <c r="S68" s="15">
        <v>9</v>
      </c>
      <c r="T68" s="7" t="str">
        <f t="shared" ref="T68:T88" si="86">B68</f>
        <v>爪印</v>
      </c>
      <c r="U68" s="7" t="str">
        <f t="shared" ref="U68:Z68" si="87">T68</f>
        <v>爪印</v>
      </c>
      <c r="V68" s="7" t="str">
        <f t="shared" si="87"/>
        <v>爪印</v>
      </c>
      <c r="W68" s="7" t="str">
        <f t="shared" si="87"/>
        <v>爪印</v>
      </c>
      <c r="X68" s="7" t="str">
        <f t="shared" si="87"/>
        <v>爪印</v>
      </c>
      <c r="Y68" s="7" t="str">
        <f t="shared" si="87"/>
        <v>爪印</v>
      </c>
      <c r="Z68" s="7" t="str">
        <f t="shared" si="87"/>
        <v>爪印</v>
      </c>
      <c r="AA68" s="7" t="s">
        <v>81</v>
      </c>
      <c r="AB68" s="7" t="str">
        <f t="shared" ref="AB68:AH68" si="88">AA68</f>
        <v>无</v>
      </c>
      <c r="AC68" s="7" t="str">
        <f t="shared" si="88"/>
        <v>无</v>
      </c>
      <c r="AD68" s="7" t="str">
        <f t="shared" si="88"/>
        <v>无</v>
      </c>
      <c r="AE68" s="7" t="str">
        <f t="shared" si="88"/>
        <v>无</v>
      </c>
      <c r="AF68" s="7" t="str">
        <f t="shared" si="88"/>
        <v>无</v>
      </c>
      <c r="AG68" s="7" t="str">
        <f t="shared" si="88"/>
        <v>无</v>
      </c>
      <c r="AH68" s="7" t="str">
        <f t="shared" si="88"/>
        <v>无</v>
      </c>
      <c r="AI68" s="15">
        <v>1</v>
      </c>
      <c r="AJ68" s="15">
        <v>2</v>
      </c>
      <c r="AK68" s="15">
        <v>3</v>
      </c>
      <c r="AL68" s="15">
        <v>4</v>
      </c>
      <c r="AM68" s="15">
        <v>5</v>
      </c>
      <c r="AN68" s="15">
        <v>6</v>
      </c>
      <c r="AO68" s="15">
        <v>7</v>
      </c>
      <c r="AP68" s="15"/>
    </row>
    <row r="69" s="7" customFormat="1" hidden="1" spans="1:42">
      <c r="A69" s="15">
        <v>130013</v>
      </c>
      <c r="B69" s="15" t="s">
        <v>206</v>
      </c>
      <c r="C69" s="15" t="s">
        <v>206</v>
      </c>
      <c r="D69" s="16" t="s">
        <v>83</v>
      </c>
      <c r="E69" s="7">
        <v>2401</v>
      </c>
      <c r="F69" s="7">
        <v>-1</v>
      </c>
      <c r="G69" s="7">
        <v>0</v>
      </c>
      <c r="H69" s="7">
        <v>0</v>
      </c>
      <c r="I69" s="15" t="s">
        <v>43</v>
      </c>
      <c r="J69" s="7">
        <v>-1</v>
      </c>
      <c r="K69" s="7">
        <v>0</v>
      </c>
      <c r="L69" s="7">
        <v>0</v>
      </c>
      <c r="N69" s="24">
        <v>1</v>
      </c>
      <c r="O69" s="7">
        <v>1</v>
      </c>
      <c r="Q69" s="7" t="s">
        <v>149</v>
      </c>
      <c r="R69" s="7" t="s">
        <v>149</v>
      </c>
      <c r="S69" s="15">
        <v>10</v>
      </c>
      <c r="T69" s="7" t="str">
        <f t="shared" si="86"/>
        <v>化血</v>
      </c>
      <c r="U69" s="7" t="str">
        <f t="shared" ref="U69:Z69" si="89">T69</f>
        <v>化血</v>
      </c>
      <c r="V69" s="7" t="str">
        <f t="shared" si="89"/>
        <v>化血</v>
      </c>
      <c r="W69" s="7" t="str">
        <f t="shared" si="89"/>
        <v>化血</v>
      </c>
      <c r="X69" s="7" t="str">
        <f t="shared" si="89"/>
        <v>化血</v>
      </c>
      <c r="Y69" s="7" t="str">
        <f t="shared" si="89"/>
        <v>化血</v>
      </c>
      <c r="Z69" s="7" t="str">
        <f t="shared" si="89"/>
        <v>化血</v>
      </c>
      <c r="AA69" s="7" t="s">
        <v>81</v>
      </c>
      <c r="AB69" s="7" t="str">
        <f t="shared" ref="AB69:AH69" si="90">AA69</f>
        <v>无</v>
      </c>
      <c r="AC69" s="7" t="str">
        <f t="shared" si="90"/>
        <v>无</v>
      </c>
      <c r="AD69" s="7" t="str">
        <f t="shared" si="90"/>
        <v>无</v>
      </c>
      <c r="AE69" s="7" t="str">
        <f t="shared" si="90"/>
        <v>无</v>
      </c>
      <c r="AF69" s="7" t="str">
        <f t="shared" si="90"/>
        <v>无</v>
      </c>
      <c r="AG69" s="7" t="str">
        <f t="shared" si="90"/>
        <v>无</v>
      </c>
      <c r="AH69" s="7" t="str">
        <f t="shared" si="90"/>
        <v>无</v>
      </c>
      <c r="AI69" s="15">
        <v>1</v>
      </c>
      <c r="AJ69" s="15">
        <v>2</v>
      </c>
      <c r="AK69" s="15">
        <v>3</v>
      </c>
      <c r="AL69" s="15">
        <v>4</v>
      </c>
      <c r="AM69" s="15">
        <v>5</v>
      </c>
      <c r="AN69" s="15">
        <v>6</v>
      </c>
      <c r="AO69" s="15">
        <v>7</v>
      </c>
      <c r="AP69" s="15"/>
    </row>
    <row r="70" s="7" customFormat="1" hidden="1" spans="1:42">
      <c r="A70" s="15">
        <v>130014</v>
      </c>
      <c r="B70" s="15" t="s">
        <v>207</v>
      </c>
      <c r="C70" s="15" t="s">
        <v>207</v>
      </c>
      <c r="D70" s="17" t="s">
        <v>85</v>
      </c>
      <c r="E70" s="7">
        <v>2402</v>
      </c>
      <c r="F70" s="7">
        <v>-1</v>
      </c>
      <c r="G70" s="7">
        <v>0</v>
      </c>
      <c r="H70" s="7">
        <v>0</v>
      </c>
      <c r="I70" s="15" t="s">
        <v>43</v>
      </c>
      <c r="J70" s="7">
        <v>-1</v>
      </c>
      <c r="K70" s="7">
        <v>0</v>
      </c>
      <c r="L70" s="7">
        <v>0</v>
      </c>
      <c r="N70" s="24">
        <v>1</v>
      </c>
      <c r="O70" s="7">
        <v>1</v>
      </c>
      <c r="Q70" s="7" t="s">
        <v>149</v>
      </c>
      <c r="R70" s="7" t="s">
        <v>149</v>
      </c>
      <c r="S70" s="15">
        <v>11</v>
      </c>
      <c r="T70" s="7" t="str">
        <f t="shared" si="86"/>
        <v>威压</v>
      </c>
      <c r="U70" s="7" t="str">
        <f t="shared" ref="U70:Z70" si="91">T70</f>
        <v>威压</v>
      </c>
      <c r="V70" s="7" t="str">
        <f t="shared" si="91"/>
        <v>威压</v>
      </c>
      <c r="W70" s="7" t="str">
        <f t="shared" si="91"/>
        <v>威压</v>
      </c>
      <c r="X70" s="7" t="str">
        <f t="shared" si="91"/>
        <v>威压</v>
      </c>
      <c r="Y70" s="7" t="str">
        <f t="shared" si="91"/>
        <v>威压</v>
      </c>
      <c r="Z70" s="7" t="str">
        <f t="shared" si="91"/>
        <v>威压</v>
      </c>
      <c r="AA70" s="7" t="s">
        <v>81</v>
      </c>
      <c r="AB70" s="7" t="str">
        <f t="shared" ref="AB70:AH70" si="92">AA70</f>
        <v>无</v>
      </c>
      <c r="AC70" s="7" t="str">
        <f t="shared" si="92"/>
        <v>无</v>
      </c>
      <c r="AD70" s="7" t="str">
        <f t="shared" si="92"/>
        <v>无</v>
      </c>
      <c r="AE70" s="7" t="str">
        <f t="shared" si="92"/>
        <v>无</v>
      </c>
      <c r="AF70" s="7" t="str">
        <f t="shared" si="92"/>
        <v>无</v>
      </c>
      <c r="AG70" s="7" t="str">
        <f t="shared" si="92"/>
        <v>无</v>
      </c>
      <c r="AH70" s="7" t="str">
        <f t="shared" si="92"/>
        <v>无</v>
      </c>
      <c r="AI70" s="15">
        <v>1</v>
      </c>
      <c r="AJ70" s="15">
        <v>2</v>
      </c>
      <c r="AK70" s="15">
        <v>3</v>
      </c>
      <c r="AL70" s="15">
        <v>4</v>
      </c>
      <c r="AM70" s="15">
        <v>5</v>
      </c>
      <c r="AN70" s="15">
        <v>6</v>
      </c>
      <c r="AO70" s="15">
        <v>7</v>
      </c>
      <c r="AP70" s="15"/>
    </row>
    <row r="71" s="7" customFormat="1" hidden="1" spans="1:42">
      <c r="A71" s="15">
        <v>130015</v>
      </c>
      <c r="B71" s="15" t="s">
        <v>208</v>
      </c>
      <c r="C71" s="15" t="s">
        <v>208</v>
      </c>
      <c r="D71" s="18" t="s">
        <v>87</v>
      </c>
      <c r="E71" s="7">
        <v>2403</v>
      </c>
      <c r="F71" s="7">
        <v>-1</v>
      </c>
      <c r="G71" s="7">
        <v>0</v>
      </c>
      <c r="H71" s="7">
        <v>0</v>
      </c>
      <c r="I71" s="15" t="s">
        <v>43</v>
      </c>
      <c r="J71" s="7">
        <v>-1</v>
      </c>
      <c r="K71" s="7">
        <v>0</v>
      </c>
      <c r="L71" s="7">
        <v>0</v>
      </c>
      <c r="N71" s="24">
        <v>1</v>
      </c>
      <c r="O71" s="7">
        <v>1</v>
      </c>
      <c r="Q71" s="7" t="s">
        <v>149</v>
      </c>
      <c r="R71" s="7" t="s">
        <v>149</v>
      </c>
      <c r="S71" s="15">
        <v>12</v>
      </c>
      <c r="T71" s="7" t="str">
        <f t="shared" si="86"/>
        <v>九天</v>
      </c>
      <c r="U71" s="7" t="str">
        <f t="shared" ref="U71:Z71" si="93">T71</f>
        <v>九天</v>
      </c>
      <c r="V71" s="7" t="str">
        <f t="shared" si="93"/>
        <v>九天</v>
      </c>
      <c r="W71" s="7" t="str">
        <f t="shared" si="93"/>
        <v>九天</v>
      </c>
      <c r="X71" s="7" t="str">
        <f t="shared" si="93"/>
        <v>九天</v>
      </c>
      <c r="Y71" s="7" t="str">
        <f t="shared" si="93"/>
        <v>九天</v>
      </c>
      <c r="Z71" s="7" t="str">
        <f t="shared" si="93"/>
        <v>九天</v>
      </c>
      <c r="AA71" s="7" t="s">
        <v>81</v>
      </c>
      <c r="AB71" s="7" t="str">
        <f t="shared" ref="AB71:AH71" si="94">AA71</f>
        <v>无</v>
      </c>
      <c r="AC71" s="7" t="str">
        <f t="shared" si="94"/>
        <v>无</v>
      </c>
      <c r="AD71" s="7" t="str">
        <f t="shared" si="94"/>
        <v>无</v>
      </c>
      <c r="AE71" s="7" t="str">
        <f t="shared" si="94"/>
        <v>无</v>
      </c>
      <c r="AF71" s="7" t="str">
        <f t="shared" si="94"/>
        <v>无</v>
      </c>
      <c r="AG71" s="7" t="str">
        <f t="shared" si="94"/>
        <v>无</v>
      </c>
      <c r="AH71" s="7" t="str">
        <f t="shared" si="94"/>
        <v>无</v>
      </c>
      <c r="AI71" s="15">
        <v>1</v>
      </c>
      <c r="AJ71" s="15">
        <v>2</v>
      </c>
      <c r="AK71" s="15">
        <v>3</v>
      </c>
      <c r="AL71" s="15">
        <v>4</v>
      </c>
      <c r="AM71" s="15">
        <v>5</v>
      </c>
      <c r="AN71" s="15">
        <v>6</v>
      </c>
      <c r="AO71" s="15">
        <v>7</v>
      </c>
      <c r="AP71" s="15"/>
    </row>
    <row r="72" s="7" customFormat="1" hidden="1" spans="1:42">
      <c r="A72" s="15">
        <v>130016</v>
      </c>
      <c r="B72" s="15" t="s">
        <v>209</v>
      </c>
      <c r="C72" s="15" t="s">
        <v>209</v>
      </c>
      <c r="D72" s="17" t="s">
        <v>89</v>
      </c>
      <c r="E72" s="7">
        <v>2404</v>
      </c>
      <c r="F72" s="7">
        <v>-1</v>
      </c>
      <c r="G72" s="7">
        <v>0</v>
      </c>
      <c r="H72" s="7">
        <v>0</v>
      </c>
      <c r="I72" s="15" t="s">
        <v>43</v>
      </c>
      <c r="J72" s="7">
        <v>-1</v>
      </c>
      <c r="K72" s="7">
        <v>0</v>
      </c>
      <c r="L72" s="7">
        <v>0</v>
      </c>
      <c r="N72" s="24">
        <v>1</v>
      </c>
      <c r="O72" s="7">
        <v>1</v>
      </c>
      <c r="Q72" s="7" t="s">
        <v>149</v>
      </c>
      <c r="R72" s="7" t="s">
        <v>149</v>
      </c>
      <c r="S72" s="15">
        <v>13</v>
      </c>
      <c r="T72" s="7" t="str">
        <f t="shared" si="86"/>
        <v>怒火</v>
      </c>
      <c r="U72" s="7" t="str">
        <f t="shared" ref="U72:Z72" si="95">T72</f>
        <v>怒火</v>
      </c>
      <c r="V72" s="7" t="str">
        <f t="shared" si="95"/>
        <v>怒火</v>
      </c>
      <c r="W72" s="7" t="str">
        <f t="shared" si="95"/>
        <v>怒火</v>
      </c>
      <c r="X72" s="7" t="str">
        <f t="shared" si="95"/>
        <v>怒火</v>
      </c>
      <c r="Y72" s="7" t="str">
        <f t="shared" si="95"/>
        <v>怒火</v>
      </c>
      <c r="Z72" s="7" t="str">
        <f t="shared" si="95"/>
        <v>怒火</v>
      </c>
      <c r="AA72" s="7" t="s">
        <v>81</v>
      </c>
      <c r="AB72" s="7" t="str">
        <f t="shared" ref="AB72:AH72" si="96">AA72</f>
        <v>无</v>
      </c>
      <c r="AC72" s="7" t="str">
        <f t="shared" si="96"/>
        <v>无</v>
      </c>
      <c r="AD72" s="7" t="str">
        <f t="shared" si="96"/>
        <v>无</v>
      </c>
      <c r="AE72" s="7" t="str">
        <f t="shared" si="96"/>
        <v>无</v>
      </c>
      <c r="AF72" s="7" t="str">
        <f t="shared" si="96"/>
        <v>无</v>
      </c>
      <c r="AG72" s="7" t="str">
        <f t="shared" si="96"/>
        <v>无</v>
      </c>
      <c r="AH72" s="7" t="str">
        <f t="shared" si="96"/>
        <v>无</v>
      </c>
      <c r="AI72" s="15">
        <v>1</v>
      </c>
      <c r="AJ72" s="15">
        <v>2</v>
      </c>
      <c r="AK72" s="15">
        <v>3</v>
      </c>
      <c r="AL72" s="15">
        <v>4</v>
      </c>
      <c r="AM72" s="15">
        <v>5</v>
      </c>
      <c r="AN72" s="15">
        <v>6</v>
      </c>
      <c r="AO72" s="15">
        <v>7</v>
      </c>
      <c r="AP72" s="15"/>
    </row>
    <row r="73" s="7" customFormat="1" hidden="1" spans="1:42">
      <c r="A73" s="15">
        <v>130017</v>
      </c>
      <c r="B73" s="15" t="s">
        <v>210</v>
      </c>
      <c r="C73" s="15" t="s">
        <v>210</v>
      </c>
      <c r="D73" s="17" t="s">
        <v>91</v>
      </c>
      <c r="E73" s="7">
        <v>2405</v>
      </c>
      <c r="F73" s="7">
        <v>-1</v>
      </c>
      <c r="G73" s="7">
        <v>0</v>
      </c>
      <c r="H73" s="7">
        <v>0</v>
      </c>
      <c r="I73" s="15" t="s">
        <v>43</v>
      </c>
      <c r="J73" s="7">
        <v>-1</v>
      </c>
      <c r="K73" s="7">
        <v>0</v>
      </c>
      <c r="L73" s="7">
        <v>0</v>
      </c>
      <c r="N73" s="24">
        <v>1</v>
      </c>
      <c r="O73" s="7">
        <v>1</v>
      </c>
      <c r="Q73" s="7" t="s">
        <v>149</v>
      </c>
      <c r="R73" s="7" t="s">
        <v>149</v>
      </c>
      <c r="S73" s="15">
        <v>14</v>
      </c>
      <c r="T73" s="7" t="str">
        <f t="shared" si="86"/>
        <v>死地</v>
      </c>
      <c r="U73" s="7" t="str">
        <f t="shared" ref="U73:Z73" si="97">T73</f>
        <v>死地</v>
      </c>
      <c r="V73" s="7" t="str">
        <f t="shared" si="97"/>
        <v>死地</v>
      </c>
      <c r="W73" s="7" t="str">
        <f t="shared" si="97"/>
        <v>死地</v>
      </c>
      <c r="X73" s="7" t="str">
        <f t="shared" si="97"/>
        <v>死地</v>
      </c>
      <c r="Y73" s="7" t="str">
        <f t="shared" si="97"/>
        <v>死地</v>
      </c>
      <c r="Z73" s="7" t="str">
        <f t="shared" si="97"/>
        <v>死地</v>
      </c>
      <c r="AA73" s="7" t="s">
        <v>81</v>
      </c>
      <c r="AB73" s="7" t="str">
        <f t="shared" ref="AB73:AH73" si="98">AA73</f>
        <v>无</v>
      </c>
      <c r="AC73" s="7" t="str">
        <f t="shared" si="98"/>
        <v>无</v>
      </c>
      <c r="AD73" s="7" t="str">
        <f t="shared" si="98"/>
        <v>无</v>
      </c>
      <c r="AE73" s="7" t="str">
        <f t="shared" si="98"/>
        <v>无</v>
      </c>
      <c r="AF73" s="7" t="str">
        <f t="shared" si="98"/>
        <v>无</v>
      </c>
      <c r="AG73" s="7" t="str">
        <f t="shared" si="98"/>
        <v>无</v>
      </c>
      <c r="AH73" s="7" t="str">
        <f t="shared" si="98"/>
        <v>无</v>
      </c>
      <c r="AI73" s="15">
        <v>1</v>
      </c>
      <c r="AJ73" s="15">
        <v>2</v>
      </c>
      <c r="AK73" s="15">
        <v>3</v>
      </c>
      <c r="AL73" s="15">
        <v>4</v>
      </c>
      <c r="AM73" s="15">
        <v>5</v>
      </c>
      <c r="AN73" s="15">
        <v>6</v>
      </c>
      <c r="AO73" s="15">
        <v>7</v>
      </c>
      <c r="AP73" s="15"/>
    </row>
    <row r="74" s="7" customFormat="1" hidden="1" spans="1:42">
      <c r="A74" s="15">
        <v>130018</v>
      </c>
      <c r="B74" s="15" t="s">
        <v>92</v>
      </c>
      <c r="C74" s="15" t="s">
        <v>92</v>
      </c>
      <c r="D74" s="19" t="s">
        <v>93</v>
      </c>
      <c r="E74" s="7">
        <v>2379</v>
      </c>
      <c r="F74" s="7">
        <v>-1</v>
      </c>
      <c r="G74" s="7">
        <v>0</v>
      </c>
      <c r="H74" s="7">
        <v>0</v>
      </c>
      <c r="I74" s="15" t="s">
        <v>43</v>
      </c>
      <c r="J74" s="7">
        <v>-1</v>
      </c>
      <c r="K74" s="7">
        <v>0</v>
      </c>
      <c r="L74" s="7">
        <v>0</v>
      </c>
      <c r="N74" s="24">
        <v>1</v>
      </c>
      <c r="O74" s="7">
        <v>1</v>
      </c>
      <c r="Q74" s="7" t="s">
        <v>149</v>
      </c>
      <c r="R74" s="7" t="s">
        <v>149</v>
      </c>
      <c r="S74" s="15">
        <v>15</v>
      </c>
      <c r="T74" s="7" t="str">
        <f t="shared" si="86"/>
        <v>额外能力</v>
      </c>
      <c r="U74" s="7" t="str">
        <f t="shared" ref="U74:Z74" si="99">T74</f>
        <v>额外能力</v>
      </c>
      <c r="V74" s="7" t="str">
        <f t="shared" si="99"/>
        <v>额外能力</v>
      </c>
      <c r="W74" s="7" t="str">
        <f t="shared" si="99"/>
        <v>额外能力</v>
      </c>
      <c r="X74" s="7" t="str">
        <f t="shared" si="99"/>
        <v>额外能力</v>
      </c>
      <c r="Y74" s="7" t="str">
        <f t="shared" si="99"/>
        <v>额外能力</v>
      </c>
      <c r="Z74" s="7" t="str">
        <f t="shared" si="99"/>
        <v>额外能力</v>
      </c>
      <c r="AA74" s="7" t="s">
        <v>81</v>
      </c>
      <c r="AB74" s="7" t="str">
        <f t="shared" ref="AB74:AH74" si="100">AA74</f>
        <v>无</v>
      </c>
      <c r="AC74" s="7" t="str">
        <f t="shared" si="100"/>
        <v>无</v>
      </c>
      <c r="AD74" s="7" t="str">
        <f t="shared" si="100"/>
        <v>无</v>
      </c>
      <c r="AE74" s="7" t="str">
        <f t="shared" si="100"/>
        <v>无</v>
      </c>
      <c r="AF74" s="7" t="str">
        <f t="shared" si="100"/>
        <v>无</v>
      </c>
      <c r="AG74" s="7" t="str">
        <f t="shared" si="100"/>
        <v>无</v>
      </c>
      <c r="AH74" s="7" t="str">
        <f t="shared" si="100"/>
        <v>无</v>
      </c>
      <c r="AI74" s="15">
        <v>1</v>
      </c>
      <c r="AJ74" s="15">
        <v>2</v>
      </c>
      <c r="AK74" s="15">
        <v>3</v>
      </c>
      <c r="AL74" s="15">
        <v>4</v>
      </c>
      <c r="AM74" s="15">
        <v>5</v>
      </c>
      <c r="AN74" s="15">
        <v>6</v>
      </c>
      <c r="AO74" s="15">
        <v>7</v>
      </c>
      <c r="AP74" s="15"/>
    </row>
    <row r="75" s="7" customFormat="1" hidden="1" spans="1:42">
      <c r="A75" s="15">
        <v>130019</v>
      </c>
      <c r="B75" s="15" t="s">
        <v>211</v>
      </c>
      <c r="C75" s="15" t="s">
        <v>211</v>
      </c>
      <c r="D75" s="17" t="s">
        <v>95</v>
      </c>
      <c r="E75" s="7">
        <v>2406</v>
      </c>
      <c r="F75" s="7">
        <v>-1</v>
      </c>
      <c r="G75" s="7">
        <v>0</v>
      </c>
      <c r="H75" s="7">
        <v>0</v>
      </c>
      <c r="I75" s="15" t="s">
        <v>43</v>
      </c>
      <c r="J75" s="7">
        <v>-1</v>
      </c>
      <c r="K75" s="7">
        <v>0</v>
      </c>
      <c r="L75" s="7">
        <v>0</v>
      </c>
      <c r="N75" s="24">
        <v>1</v>
      </c>
      <c r="O75" s="7">
        <v>1</v>
      </c>
      <c r="Q75" s="7" t="s">
        <v>149</v>
      </c>
      <c r="R75" s="7" t="s">
        <v>149</v>
      </c>
      <c r="S75" s="15">
        <v>16</v>
      </c>
      <c r="T75" s="7" t="str">
        <f t="shared" si="86"/>
        <v>迅捷</v>
      </c>
      <c r="U75" s="7" t="str">
        <f t="shared" ref="U75:Z75" si="101">T75</f>
        <v>迅捷</v>
      </c>
      <c r="V75" s="7" t="str">
        <f t="shared" si="101"/>
        <v>迅捷</v>
      </c>
      <c r="W75" s="7" t="str">
        <f t="shared" si="101"/>
        <v>迅捷</v>
      </c>
      <c r="X75" s="7" t="str">
        <f t="shared" si="101"/>
        <v>迅捷</v>
      </c>
      <c r="Y75" s="7" t="str">
        <f t="shared" si="101"/>
        <v>迅捷</v>
      </c>
      <c r="Z75" s="7" t="str">
        <f t="shared" si="101"/>
        <v>迅捷</v>
      </c>
      <c r="AA75" s="7" t="s">
        <v>81</v>
      </c>
      <c r="AB75" s="7" t="str">
        <f t="shared" ref="AB75:AH75" si="102">AA75</f>
        <v>无</v>
      </c>
      <c r="AC75" s="7" t="str">
        <f t="shared" si="102"/>
        <v>无</v>
      </c>
      <c r="AD75" s="7" t="str">
        <f t="shared" si="102"/>
        <v>无</v>
      </c>
      <c r="AE75" s="7" t="str">
        <f t="shared" si="102"/>
        <v>无</v>
      </c>
      <c r="AF75" s="7" t="str">
        <f t="shared" si="102"/>
        <v>无</v>
      </c>
      <c r="AG75" s="7" t="str">
        <f t="shared" si="102"/>
        <v>无</v>
      </c>
      <c r="AH75" s="7" t="str">
        <f t="shared" si="102"/>
        <v>无</v>
      </c>
      <c r="AI75" s="15">
        <v>1</v>
      </c>
      <c r="AJ75" s="15">
        <v>2</v>
      </c>
      <c r="AK75" s="15">
        <v>3</v>
      </c>
      <c r="AL75" s="15">
        <v>4</v>
      </c>
      <c r="AM75" s="15">
        <v>5</v>
      </c>
      <c r="AN75" s="15">
        <v>6</v>
      </c>
      <c r="AO75" s="15">
        <v>7</v>
      </c>
      <c r="AP75" s="15"/>
    </row>
    <row r="76" s="7" customFormat="1" hidden="1" spans="1:42">
      <c r="A76" s="15">
        <v>130020</v>
      </c>
      <c r="B76" s="15" t="s">
        <v>212</v>
      </c>
      <c r="C76" s="15" t="s">
        <v>212</v>
      </c>
      <c r="D76" s="16" t="s">
        <v>97</v>
      </c>
      <c r="E76" s="7">
        <v>2407</v>
      </c>
      <c r="F76" s="7">
        <v>-1</v>
      </c>
      <c r="G76" s="7">
        <v>0</v>
      </c>
      <c r="H76" s="7">
        <v>0</v>
      </c>
      <c r="I76" s="15" t="s">
        <v>43</v>
      </c>
      <c r="J76" s="7">
        <v>-1</v>
      </c>
      <c r="K76" s="7">
        <v>0</v>
      </c>
      <c r="L76" s="7">
        <v>0</v>
      </c>
      <c r="N76" s="24">
        <v>1</v>
      </c>
      <c r="O76" s="7">
        <v>1</v>
      </c>
      <c r="Q76" s="7" t="s">
        <v>149</v>
      </c>
      <c r="R76" s="7" t="s">
        <v>149</v>
      </c>
      <c r="S76" s="15">
        <v>17</v>
      </c>
      <c r="T76" s="7" t="str">
        <f t="shared" si="86"/>
        <v>宁息</v>
      </c>
      <c r="U76" s="7" t="str">
        <f t="shared" ref="U76:Z76" si="103">T76</f>
        <v>宁息</v>
      </c>
      <c r="V76" s="7" t="str">
        <f t="shared" si="103"/>
        <v>宁息</v>
      </c>
      <c r="W76" s="7" t="str">
        <f t="shared" si="103"/>
        <v>宁息</v>
      </c>
      <c r="X76" s="7" t="str">
        <f t="shared" si="103"/>
        <v>宁息</v>
      </c>
      <c r="Y76" s="7" t="str">
        <f t="shared" si="103"/>
        <v>宁息</v>
      </c>
      <c r="Z76" s="7" t="str">
        <f t="shared" si="103"/>
        <v>宁息</v>
      </c>
      <c r="AA76" s="7" t="s">
        <v>81</v>
      </c>
      <c r="AB76" s="7" t="str">
        <f t="shared" ref="AB76:AH76" si="104">AA76</f>
        <v>无</v>
      </c>
      <c r="AC76" s="7" t="str">
        <f t="shared" si="104"/>
        <v>无</v>
      </c>
      <c r="AD76" s="7" t="str">
        <f t="shared" si="104"/>
        <v>无</v>
      </c>
      <c r="AE76" s="7" t="str">
        <f t="shared" si="104"/>
        <v>无</v>
      </c>
      <c r="AF76" s="7" t="str">
        <f t="shared" si="104"/>
        <v>无</v>
      </c>
      <c r="AG76" s="7" t="str">
        <f t="shared" si="104"/>
        <v>无</v>
      </c>
      <c r="AH76" s="7" t="str">
        <f t="shared" si="104"/>
        <v>无</v>
      </c>
      <c r="AI76" s="15">
        <v>1</v>
      </c>
      <c r="AJ76" s="15">
        <v>2</v>
      </c>
      <c r="AK76" s="15">
        <v>3</v>
      </c>
      <c r="AL76" s="15">
        <v>4</v>
      </c>
      <c r="AM76" s="15">
        <v>5</v>
      </c>
      <c r="AN76" s="15">
        <v>6</v>
      </c>
      <c r="AO76" s="15">
        <v>7</v>
      </c>
      <c r="AP76" s="15"/>
    </row>
    <row r="77" s="7" customFormat="1" hidden="1" spans="1:42">
      <c r="A77" s="15">
        <v>130021</v>
      </c>
      <c r="B77" s="15" t="s">
        <v>213</v>
      </c>
      <c r="C77" s="15" t="s">
        <v>213</v>
      </c>
      <c r="D77" s="17" t="s">
        <v>91</v>
      </c>
      <c r="E77" s="7">
        <v>2408</v>
      </c>
      <c r="F77" s="7">
        <v>-1</v>
      </c>
      <c r="G77" s="7">
        <v>0</v>
      </c>
      <c r="H77" s="7">
        <v>0</v>
      </c>
      <c r="I77" s="15" t="s">
        <v>43</v>
      </c>
      <c r="J77" s="7">
        <v>-1</v>
      </c>
      <c r="K77" s="7">
        <v>0</v>
      </c>
      <c r="L77" s="7">
        <v>0</v>
      </c>
      <c r="N77" s="24">
        <v>1</v>
      </c>
      <c r="O77" s="7">
        <v>1</v>
      </c>
      <c r="Q77" s="7" t="s">
        <v>149</v>
      </c>
      <c r="R77" s="7" t="s">
        <v>149</v>
      </c>
      <c r="S77" s="15">
        <v>18</v>
      </c>
      <c r="T77" s="7" t="str">
        <f t="shared" si="86"/>
        <v>怒象</v>
      </c>
      <c r="U77" s="7" t="str">
        <f t="shared" ref="U77:Z77" si="105">T77</f>
        <v>怒象</v>
      </c>
      <c r="V77" s="7" t="str">
        <f t="shared" si="105"/>
        <v>怒象</v>
      </c>
      <c r="W77" s="7" t="str">
        <f t="shared" si="105"/>
        <v>怒象</v>
      </c>
      <c r="X77" s="7" t="str">
        <f t="shared" si="105"/>
        <v>怒象</v>
      </c>
      <c r="Y77" s="7" t="str">
        <f t="shared" si="105"/>
        <v>怒象</v>
      </c>
      <c r="Z77" s="7" t="str">
        <f t="shared" si="105"/>
        <v>怒象</v>
      </c>
      <c r="AA77" s="7" t="s">
        <v>81</v>
      </c>
      <c r="AB77" s="7" t="str">
        <f t="shared" ref="AB77:AH77" si="106">AA77</f>
        <v>无</v>
      </c>
      <c r="AC77" s="7" t="str">
        <f t="shared" si="106"/>
        <v>无</v>
      </c>
      <c r="AD77" s="7" t="str">
        <f t="shared" si="106"/>
        <v>无</v>
      </c>
      <c r="AE77" s="7" t="str">
        <f t="shared" si="106"/>
        <v>无</v>
      </c>
      <c r="AF77" s="7" t="str">
        <f t="shared" si="106"/>
        <v>无</v>
      </c>
      <c r="AG77" s="7" t="str">
        <f t="shared" si="106"/>
        <v>无</v>
      </c>
      <c r="AH77" s="7" t="str">
        <f t="shared" si="106"/>
        <v>无</v>
      </c>
      <c r="AI77" s="15">
        <v>1</v>
      </c>
      <c r="AJ77" s="15">
        <v>2</v>
      </c>
      <c r="AK77" s="15">
        <v>3</v>
      </c>
      <c r="AL77" s="15">
        <v>4</v>
      </c>
      <c r="AM77" s="15">
        <v>5</v>
      </c>
      <c r="AN77" s="15">
        <v>6</v>
      </c>
      <c r="AO77" s="15">
        <v>7</v>
      </c>
      <c r="AP77" s="15"/>
    </row>
    <row r="78" s="7" customFormat="1" hidden="1" spans="1:42">
      <c r="A78" s="15">
        <v>130022</v>
      </c>
      <c r="B78" s="15" t="s">
        <v>214</v>
      </c>
      <c r="C78" s="15" t="s">
        <v>214</v>
      </c>
      <c r="D78" s="17" t="s">
        <v>100</v>
      </c>
      <c r="E78" s="7">
        <v>2409</v>
      </c>
      <c r="F78" s="7">
        <v>-1</v>
      </c>
      <c r="G78" s="7">
        <v>0</v>
      </c>
      <c r="H78" s="7">
        <v>0</v>
      </c>
      <c r="I78" s="15" t="s">
        <v>43</v>
      </c>
      <c r="J78" s="7">
        <v>-1</v>
      </c>
      <c r="K78" s="7">
        <v>0</v>
      </c>
      <c r="L78" s="7">
        <v>0</v>
      </c>
      <c r="N78" s="24">
        <v>1</v>
      </c>
      <c r="O78" s="7">
        <v>1</v>
      </c>
      <c r="Q78" s="7" t="s">
        <v>149</v>
      </c>
      <c r="R78" s="7" t="s">
        <v>149</v>
      </c>
      <c r="S78" s="15">
        <v>19</v>
      </c>
      <c r="T78" s="7" t="str">
        <f t="shared" si="86"/>
        <v>魔息</v>
      </c>
      <c r="U78" s="7" t="str">
        <f t="shared" ref="U78:Z78" si="107">T78</f>
        <v>魔息</v>
      </c>
      <c r="V78" s="7" t="str">
        <f t="shared" si="107"/>
        <v>魔息</v>
      </c>
      <c r="W78" s="7" t="str">
        <f t="shared" si="107"/>
        <v>魔息</v>
      </c>
      <c r="X78" s="7" t="str">
        <f t="shared" si="107"/>
        <v>魔息</v>
      </c>
      <c r="Y78" s="7" t="str">
        <f t="shared" si="107"/>
        <v>魔息</v>
      </c>
      <c r="Z78" s="7" t="str">
        <f t="shared" si="107"/>
        <v>魔息</v>
      </c>
      <c r="AA78" s="7" t="s">
        <v>81</v>
      </c>
      <c r="AB78" s="7" t="str">
        <f t="shared" ref="AB78:AH78" si="108">AA78</f>
        <v>无</v>
      </c>
      <c r="AC78" s="7" t="str">
        <f t="shared" si="108"/>
        <v>无</v>
      </c>
      <c r="AD78" s="7" t="str">
        <f t="shared" si="108"/>
        <v>无</v>
      </c>
      <c r="AE78" s="7" t="str">
        <f t="shared" si="108"/>
        <v>无</v>
      </c>
      <c r="AF78" s="7" t="str">
        <f t="shared" si="108"/>
        <v>无</v>
      </c>
      <c r="AG78" s="7" t="str">
        <f t="shared" si="108"/>
        <v>无</v>
      </c>
      <c r="AH78" s="7" t="str">
        <f t="shared" si="108"/>
        <v>无</v>
      </c>
      <c r="AI78" s="15">
        <v>1</v>
      </c>
      <c r="AJ78" s="15">
        <v>2</v>
      </c>
      <c r="AK78" s="15">
        <v>3</v>
      </c>
      <c r="AL78" s="15">
        <v>4</v>
      </c>
      <c r="AM78" s="15">
        <v>5</v>
      </c>
      <c r="AN78" s="15">
        <v>6</v>
      </c>
      <c r="AO78" s="15">
        <v>7</v>
      </c>
      <c r="AP78" s="15"/>
    </row>
    <row r="79" s="7" customFormat="1" hidden="1" spans="1:42">
      <c r="A79" s="15">
        <v>130023</v>
      </c>
      <c r="B79" s="15" t="s">
        <v>215</v>
      </c>
      <c r="C79" s="15" t="s">
        <v>215</v>
      </c>
      <c r="D79" s="17" t="s">
        <v>91</v>
      </c>
      <c r="E79" s="7">
        <v>2410</v>
      </c>
      <c r="F79" s="7">
        <v>-1</v>
      </c>
      <c r="G79" s="7">
        <v>0</v>
      </c>
      <c r="H79" s="7">
        <v>0</v>
      </c>
      <c r="I79" s="15" t="s">
        <v>43</v>
      </c>
      <c r="J79" s="7">
        <v>-1</v>
      </c>
      <c r="K79" s="7">
        <v>0</v>
      </c>
      <c r="L79" s="7">
        <v>0</v>
      </c>
      <c r="N79" s="24">
        <v>1</v>
      </c>
      <c r="O79" s="7">
        <v>1</v>
      </c>
      <c r="Q79" s="7" t="s">
        <v>149</v>
      </c>
      <c r="R79" s="7" t="s">
        <v>149</v>
      </c>
      <c r="S79" s="15">
        <v>20</v>
      </c>
      <c r="T79" s="7" t="str">
        <f t="shared" si="86"/>
        <v>狂袭</v>
      </c>
      <c r="U79" s="7" t="str">
        <f t="shared" ref="U79:Z79" si="109">T79</f>
        <v>狂袭</v>
      </c>
      <c r="V79" s="7" t="str">
        <f t="shared" si="109"/>
        <v>狂袭</v>
      </c>
      <c r="W79" s="7" t="str">
        <f t="shared" si="109"/>
        <v>狂袭</v>
      </c>
      <c r="X79" s="7" t="str">
        <f t="shared" si="109"/>
        <v>狂袭</v>
      </c>
      <c r="Y79" s="7" t="str">
        <f t="shared" si="109"/>
        <v>狂袭</v>
      </c>
      <c r="Z79" s="7" t="str">
        <f t="shared" si="109"/>
        <v>狂袭</v>
      </c>
      <c r="AA79" s="7" t="s">
        <v>81</v>
      </c>
      <c r="AB79" s="7" t="str">
        <f t="shared" ref="AB79:AH79" si="110">AA79</f>
        <v>无</v>
      </c>
      <c r="AC79" s="7" t="str">
        <f t="shared" si="110"/>
        <v>无</v>
      </c>
      <c r="AD79" s="7" t="str">
        <f t="shared" si="110"/>
        <v>无</v>
      </c>
      <c r="AE79" s="7" t="str">
        <f t="shared" si="110"/>
        <v>无</v>
      </c>
      <c r="AF79" s="7" t="str">
        <f t="shared" si="110"/>
        <v>无</v>
      </c>
      <c r="AG79" s="7" t="str">
        <f t="shared" si="110"/>
        <v>无</v>
      </c>
      <c r="AH79" s="7" t="str">
        <f t="shared" si="110"/>
        <v>无</v>
      </c>
      <c r="AI79" s="15">
        <v>1</v>
      </c>
      <c r="AJ79" s="15">
        <v>2</v>
      </c>
      <c r="AK79" s="15">
        <v>3</v>
      </c>
      <c r="AL79" s="15">
        <v>4</v>
      </c>
      <c r="AM79" s="15">
        <v>5</v>
      </c>
      <c r="AN79" s="15">
        <v>6</v>
      </c>
      <c r="AO79" s="15">
        <v>7</v>
      </c>
      <c r="AP79" s="15"/>
    </row>
    <row r="80" s="7" customFormat="1" hidden="1" spans="1:42">
      <c r="A80" s="15">
        <v>130024</v>
      </c>
      <c r="B80" s="15" t="s">
        <v>216</v>
      </c>
      <c r="C80" s="15" t="s">
        <v>216</v>
      </c>
      <c r="D80" s="17" t="s">
        <v>103</v>
      </c>
      <c r="E80" s="7">
        <v>2411</v>
      </c>
      <c r="F80" s="7">
        <v>-1</v>
      </c>
      <c r="G80" s="7">
        <v>0</v>
      </c>
      <c r="H80" s="7">
        <v>0</v>
      </c>
      <c r="I80" s="15" t="s">
        <v>43</v>
      </c>
      <c r="J80" s="7">
        <v>-1</v>
      </c>
      <c r="K80" s="7">
        <v>0</v>
      </c>
      <c r="L80" s="7">
        <v>0</v>
      </c>
      <c r="N80" s="24">
        <v>1</v>
      </c>
      <c r="O80" s="7">
        <v>1</v>
      </c>
      <c r="Q80" s="7" t="s">
        <v>149</v>
      </c>
      <c r="R80" s="7" t="s">
        <v>149</v>
      </c>
      <c r="S80" s="15">
        <v>21</v>
      </c>
      <c r="T80" s="7" t="str">
        <f t="shared" si="86"/>
        <v>乱击</v>
      </c>
      <c r="U80" s="7" t="str">
        <f t="shared" ref="U80:Z80" si="111">T80</f>
        <v>乱击</v>
      </c>
      <c r="V80" s="7" t="str">
        <f t="shared" si="111"/>
        <v>乱击</v>
      </c>
      <c r="W80" s="7" t="str">
        <f t="shared" si="111"/>
        <v>乱击</v>
      </c>
      <c r="X80" s="7" t="str">
        <f t="shared" si="111"/>
        <v>乱击</v>
      </c>
      <c r="Y80" s="7" t="str">
        <f t="shared" si="111"/>
        <v>乱击</v>
      </c>
      <c r="Z80" s="7" t="str">
        <f t="shared" si="111"/>
        <v>乱击</v>
      </c>
      <c r="AA80" s="7" t="s">
        <v>81</v>
      </c>
      <c r="AB80" s="7" t="str">
        <f t="shared" ref="AB80:AH80" si="112">AA80</f>
        <v>无</v>
      </c>
      <c r="AC80" s="7" t="str">
        <f t="shared" si="112"/>
        <v>无</v>
      </c>
      <c r="AD80" s="7" t="str">
        <f t="shared" si="112"/>
        <v>无</v>
      </c>
      <c r="AE80" s="7" t="str">
        <f t="shared" si="112"/>
        <v>无</v>
      </c>
      <c r="AF80" s="7" t="str">
        <f t="shared" si="112"/>
        <v>无</v>
      </c>
      <c r="AG80" s="7" t="str">
        <f t="shared" si="112"/>
        <v>无</v>
      </c>
      <c r="AH80" s="7" t="str">
        <f t="shared" si="112"/>
        <v>无</v>
      </c>
      <c r="AI80" s="15">
        <v>1</v>
      </c>
      <c r="AJ80" s="15">
        <v>2</v>
      </c>
      <c r="AK80" s="15">
        <v>3</v>
      </c>
      <c r="AL80" s="15">
        <v>4</v>
      </c>
      <c r="AM80" s="15">
        <v>5</v>
      </c>
      <c r="AN80" s="15">
        <v>6</v>
      </c>
      <c r="AO80" s="15">
        <v>7</v>
      </c>
      <c r="AP80" s="15"/>
    </row>
    <row r="81" s="7" customFormat="1" hidden="1" spans="1:42">
      <c r="A81" s="15">
        <v>130025</v>
      </c>
      <c r="B81" s="15" t="s">
        <v>217</v>
      </c>
      <c r="C81" s="15" t="s">
        <v>217</v>
      </c>
      <c r="D81" s="17" t="s">
        <v>105</v>
      </c>
      <c r="E81" s="7">
        <v>2412</v>
      </c>
      <c r="F81" s="7">
        <v>-1</v>
      </c>
      <c r="G81" s="7">
        <v>0</v>
      </c>
      <c r="H81" s="7">
        <v>0</v>
      </c>
      <c r="I81" s="15" t="s">
        <v>43</v>
      </c>
      <c r="J81" s="7">
        <v>-1</v>
      </c>
      <c r="K81" s="7">
        <v>0</v>
      </c>
      <c r="L81" s="7">
        <v>0</v>
      </c>
      <c r="N81" s="24">
        <v>1</v>
      </c>
      <c r="O81" s="7">
        <v>1</v>
      </c>
      <c r="Q81" s="7" t="s">
        <v>149</v>
      </c>
      <c r="R81" s="7" t="s">
        <v>149</v>
      </c>
      <c r="S81" s="15">
        <v>22</v>
      </c>
      <c r="T81" s="7" t="str">
        <f t="shared" si="86"/>
        <v>背水</v>
      </c>
      <c r="U81" s="7" t="str">
        <f t="shared" ref="U81:Z81" si="113">T81</f>
        <v>背水</v>
      </c>
      <c r="V81" s="7" t="str">
        <f t="shared" si="113"/>
        <v>背水</v>
      </c>
      <c r="W81" s="7" t="str">
        <f t="shared" si="113"/>
        <v>背水</v>
      </c>
      <c r="X81" s="7" t="str">
        <f t="shared" si="113"/>
        <v>背水</v>
      </c>
      <c r="Y81" s="7" t="str">
        <f t="shared" si="113"/>
        <v>背水</v>
      </c>
      <c r="Z81" s="7" t="str">
        <f t="shared" si="113"/>
        <v>背水</v>
      </c>
      <c r="AA81" s="7" t="s">
        <v>81</v>
      </c>
      <c r="AB81" s="7" t="str">
        <f t="shared" ref="AB81:AH81" si="114">AA81</f>
        <v>无</v>
      </c>
      <c r="AC81" s="7" t="str">
        <f t="shared" si="114"/>
        <v>无</v>
      </c>
      <c r="AD81" s="7" t="str">
        <f t="shared" si="114"/>
        <v>无</v>
      </c>
      <c r="AE81" s="7" t="str">
        <f t="shared" si="114"/>
        <v>无</v>
      </c>
      <c r="AF81" s="7" t="str">
        <f t="shared" si="114"/>
        <v>无</v>
      </c>
      <c r="AG81" s="7" t="str">
        <f t="shared" si="114"/>
        <v>无</v>
      </c>
      <c r="AH81" s="7" t="str">
        <f t="shared" si="114"/>
        <v>无</v>
      </c>
      <c r="AI81" s="15">
        <v>1</v>
      </c>
      <c r="AJ81" s="15">
        <v>2</v>
      </c>
      <c r="AK81" s="15">
        <v>3</v>
      </c>
      <c r="AL81" s="15">
        <v>4</v>
      </c>
      <c r="AM81" s="15">
        <v>5</v>
      </c>
      <c r="AN81" s="15">
        <v>6</v>
      </c>
      <c r="AO81" s="15">
        <v>7</v>
      </c>
      <c r="AP81" s="15"/>
    </row>
    <row r="82" s="7" customFormat="1" hidden="1" spans="1:42">
      <c r="A82" s="15">
        <v>130026</v>
      </c>
      <c r="B82" s="15" t="s">
        <v>218</v>
      </c>
      <c r="C82" s="15" t="s">
        <v>218</v>
      </c>
      <c r="D82" s="16" t="s">
        <v>83</v>
      </c>
      <c r="E82" s="7">
        <v>2413</v>
      </c>
      <c r="F82" s="7">
        <v>-1</v>
      </c>
      <c r="G82" s="7">
        <v>0</v>
      </c>
      <c r="H82" s="7">
        <v>0</v>
      </c>
      <c r="I82" s="15" t="s">
        <v>43</v>
      </c>
      <c r="J82" s="7">
        <v>-1</v>
      </c>
      <c r="K82" s="7">
        <v>0</v>
      </c>
      <c r="L82" s="7">
        <v>0</v>
      </c>
      <c r="N82" s="24">
        <v>1</v>
      </c>
      <c r="O82" s="7">
        <v>1</v>
      </c>
      <c r="Q82" s="7" t="s">
        <v>149</v>
      </c>
      <c r="R82" s="7" t="s">
        <v>149</v>
      </c>
      <c r="S82" s="15">
        <v>23</v>
      </c>
      <c r="T82" s="7" t="str">
        <f t="shared" si="86"/>
        <v>驭兽</v>
      </c>
      <c r="U82" s="7" t="str">
        <f t="shared" ref="U82:Z82" si="115">T82</f>
        <v>驭兽</v>
      </c>
      <c r="V82" s="7" t="str">
        <f t="shared" si="115"/>
        <v>驭兽</v>
      </c>
      <c r="W82" s="7" t="str">
        <f t="shared" si="115"/>
        <v>驭兽</v>
      </c>
      <c r="X82" s="7" t="str">
        <f t="shared" si="115"/>
        <v>驭兽</v>
      </c>
      <c r="Y82" s="7" t="str">
        <f t="shared" si="115"/>
        <v>驭兽</v>
      </c>
      <c r="Z82" s="7" t="str">
        <f t="shared" si="115"/>
        <v>驭兽</v>
      </c>
      <c r="AA82" s="7" t="s">
        <v>81</v>
      </c>
      <c r="AB82" s="7" t="str">
        <f t="shared" ref="AB82:AH82" si="116">AA82</f>
        <v>无</v>
      </c>
      <c r="AC82" s="7" t="str">
        <f t="shared" si="116"/>
        <v>无</v>
      </c>
      <c r="AD82" s="7" t="str">
        <f t="shared" si="116"/>
        <v>无</v>
      </c>
      <c r="AE82" s="7" t="str">
        <f t="shared" si="116"/>
        <v>无</v>
      </c>
      <c r="AF82" s="7" t="str">
        <f t="shared" si="116"/>
        <v>无</v>
      </c>
      <c r="AG82" s="7" t="str">
        <f t="shared" si="116"/>
        <v>无</v>
      </c>
      <c r="AH82" s="7" t="str">
        <f t="shared" si="116"/>
        <v>无</v>
      </c>
      <c r="AI82" s="15">
        <v>1</v>
      </c>
      <c r="AJ82" s="15">
        <v>2</v>
      </c>
      <c r="AK82" s="15">
        <v>3</v>
      </c>
      <c r="AL82" s="15">
        <v>4</v>
      </c>
      <c r="AM82" s="15">
        <v>5</v>
      </c>
      <c r="AN82" s="15">
        <v>6</v>
      </c>
      <c r="AO82" s="15">
        <v>7</v>
      </c>
      <c r="AP82" s="15"/>
    </row>
    <row r="83" s="7" customFormat="1" hidden="1" spans="1:42">
      <c r="A83" s="15">
        <v>130027</v>
      </c>
      <c r="B83" s="15" t="s">
        <v>219</v>
      </c>
      <c r="C83" s="15" t="s">
        <v>219</v>
      </c>
      <c r="D83" s="17" t="s">
        <v>95</v>
      </c>
      <c r="E83" s="7">
        <v>2414</v>
      </c>
      <c r="F83" s="7">
        <v>-1</v>
      </c>
      <c r="G83" s="7">
        <v>0</v>
      </c>
      <c r="H83" s="7">
        <v>0</v>
      </c>
      <c r="I83" s="15" t="s">
        <v>43</v>
      </c>
      <c r="J83" s="7">
        <v>-1</v>
      </c>
      <c r="K83" s="7">
        <v>0</v>
      </c>
      <c r="L83" s="7">
        <v>0</v>
      </c>
      <c r="N83" s="24">
        <v>1</v>
      </c>
      <c r="O83" s="7">
        <v>1</v>
      </c>
      <c r="Q83" s="7" t="s">
        <v>149</v>
      </c>
      <c r="R83" s="7" t="s">
        <v>149</v>
      </c>
      <c r="S83" s="15">
        <v>24</v>
      </c>
      <c r="T83" s="7" t="str">
        <f t="shared" si="86"/>
        <v>兽王</v>
      </c>
      <c r="U83" s="7" t="str">
        <f t="shared" ref="U83:Z83" si="117">T83</f>
        <v>兽王</v>
      </c>
      <c r="V83" s="7" t="str">
        <f t="shared" si="117"/>
        <v>兽王</v>
      </c>
      <c r="W83" s="7" t="str">
        <f t="shared" si="117"/>
        <v>兽王</v>
      </c>
      <c r="X83" s="7" t="str">
        <f t="shared" si="117"/>
        <v>兽王</v>
      </c>
      <c r="Y83" s="7" t="str">
        <f t="shared" si="117"/>
        <v>兽王</v>
      </c>
      <c r="Z83" s="7" t="str">
        <f t="shared" si="117"/>
        <v>兽王</v>
      </c>
      <c r="AA83" s="7" t="s">
        <v>81</v>
      </c>
      <c r="AB83" s="7" t="str">
        <f t="shared" ref="AB83:AH83" si="118">AA83</f>
        <v>无</v>
      </c>
      <c r="AC83" s="7" t="str">
        <f t="shared" si="118"/>
        <v>无</v>
      </c>
      <c r="AD83" s="7" t="str">
        <f t="shared" si="118"/>
        <v>无</v>
      </c>
      <c r="AE83" s="7" t="str">
        <f t="shared" si="118"/>
        <v>无</v>
      </c>
      <c r="AF83" s="7" t="str">
        <f t="shared" si="118"/>
        <v>无</v>
      </c>
      <c r="AG83" s="7" t="str">
        <f t="shared" si="118"/>
        <v>无</v>
      </c>
      <c r="AH83" s="7" t="str">
        <f t="shared" si="118"/>
        <v>无</v>
      </c>
      <c r="AI83" s="15">
        <v>1</v>
      </c>
      <c r="AJ83" s="15">
        <v>2</v>
      </c>
      <c r="AK83" s="15">
        <v>3</v>
      </c>
      <c r="AL83" s="15">
        <v>4</v>
      </c>
      <c r="AM83" s="15">
        <v>5</v>
      </c>
      <c r="AN83" s="15">
        <v>6</v>
      </c>
      <c r="AO83" s="15">
        <v>7</v>
      </c>
      <c r="AP83" s="15"/>
    </row>
    <row r="84" s="7" customFormat="1" hidden="1" spans="1:42">
      <c r="A84" s="15">
        <v>130028</v>
      </c>
      <c r="B84" s="15" t="s">
        <v>220</v>
      </c>
      <c r="C84" s="15" t="s">
        <v>220</v>
      </c>
      <c r="D84" s="16" t="s">
        <v>97</v>
      </c>
      <c r="E84" s="7">
        <v>2415</v>
      </c>
      <c r="F84" s="7">
        <v>-1</v>
      </c>
      <c r="G84" s="7">
        <v>0</v>
      </c>
      <c r="H84" s="7">
        <v>0</v>
      </c>
      <c r="I84" s="15" t="s">
        <v>43</v>
      </c>
      <c r="J84" s="7">
        <v>-1</v>
      </c>
      <c r="K84" s="7">
        <v>0</v>
      </c>
      <c r="L84" s="7">
        <v>0</v>
      </c>
      <c r="N84" s="24">
        <v>1</v>
      </c>
      <c r="O84" s="7">
        <v>1</v>
      </c>
      <c r="Q84" s="7" t="s">
        <v>149</v>
      </c>
      <c r="R84" s="7" t="s">
        <v>149</v>
      </c>
      <c r="S84" s="15">
        <v>25</v>
      </c>
      <c r="T84" s="7" t="str">
        <f t="shared" si="86"/>
        <v>虎啸</v>
      </c>
      <c r="U84" s="7" t="str">
        <f t="shared" ref="U84:Z84" si="119">T84</f>
        <v>虎啸</v>
      </c>
      <c r="V84" s="7" t="str">
        <f t="shared" si="119"/>
        <v>虎啸</v>
      </c>
      <c r="W84" s="7" t="str">
        <f t="shared" si="119"/>
        <v>虎啸</v>
      </c>
      <c r="X84" s="7" t="str">
        <f t="shared" si="119"/>
        <v>虎啸</v>
      </c>
      <c r="Y84" s="7" t="str">
        <f t="shared" si="119"/>
        <v>虎啸</v>
      </c>
      <c r="Z84" s="7" t="str">
        <f t="shared" si="119"/>
        <v>虎啸</v>
      </c>
      <c r="AA84" s="7" t="s">
        <v>81</v>
      </c>
      <c r="AB84" s="7" t="str">
        <f t="shared" ref="AB84:AH84" si="120">AA84</f>
        <v>无</v>
      </c>
      <c r="AC84" s="7" t="str">
        <f t="shared" si="120"/>
        <v>无</v>
      </c>
      <c r="AD84" s="7" t="str">
        <f t="shared" si="120"/>
        <v>无</v>
      </c>
      <c r="AE84" s="7" t="str">
        <f t="shared" si="120"/>
        <v>无</v>
      </c>
      <c r="AF84" s="7" t="str">
        <f t="shared" si="120"/>
        <v>无</v>
      </c>
      <c r="AG84" s="7" t="str">
        <f t="shared" si="120"/>
        <v>无</v>
      </c>
      <c r="AH84" s="7" t="str">
        <f t="shared" si="120"/>
        <v>无</v>
      </c>
      <c r="AI84" s="15">
        <v>1</v>
      </c>
      <c r="AJ84" s="15">
        <v>2</v>
      </c>
      <c r="AK84" s="15">
        <v>3</v>
      </c>
      <c r="AL84" s="15">
        <v>4</v>
      </c>
      <c r="AM84" s="15">
        <v>5</v>
      </c>
      <c r="AN84" s="15">
        <v>6</v>
      </c>
      <c r="AO84" s="15">
        <v>7</v>
      </c>
      <c r="AP84" s="15"/>
    </row>
    <row r="85" s="7" customFormat="1" hidden="1" spans="1:42">
      <c r="A85" s="15">
        <v>130029</v>
      </c>
      <c r="B85" s="15" t="s">
        <v>221</v>
      </c>
      <c r="C85" s="15" t="s">
        <v>221</v>
      </c>
      <c r="D85" s="17" t="s">
        <v>89</v>
      </c>
      <c r="E85" s="7">
        <v>2416</v>
      </c>
      <c r="F85" s="7">
        <v>-1</v>
      </c>
      <c r="G85" s="7">
        <v>0</v>
      </c>
      <c r="H85" s="7">
        <v>0</v>
      </c>
      <c r="I85" s="15" t="s">
        <v>43</v>
      </c>
      <c r="J85" s="7">
        <v>-1</v>
      </c>
      <c r="K85" s="7">
        <v>0</v>
      </c>
      <c r="L85" s="7">
        <v>0</v>
      </c>
      <c r="N85" s="24">
        <v>1</v>
      </c>
      <c r="O85" s="7">
        <v>1</v>
      </c>
      <c r="Q85" s="7" t="s">
        <v>149</v>
      </c>
      <c r="R85" s="7" t="s">
        <v>149</v>
      </c>
      <c r="S85" s="15">
        <v>26</v>
      </c>
      <c r="T85" s="7" t="str">
        <f t="shared" si="86"/>
        <v>协战</v>
      </c>
      <c r="U85" s="7" t="str">
        <f t="shared" ref="U85:Z85" si="121">T85</f>
        <v>协战</v>
      </c>
      <c r="V85" s="7" t="str">
        <f t="shared" si="121"/>
        <v>协战</v>
      </c>
      <c r="W85" s="7" t="str">
        <f t="shared" si="121"/>
        <v>协战</v>
      </c>
      <c r="X85" s="7" t="str">
        <f t="shared" si="121"/>
        <v>协战</v>
      </c>
      <c r="Y85" s="7" t="str">
        <f t="shared" si="121"/>
        <v>协战</v>
      </c>
      <c r="Z85" s="7" t="str">
        <f t="shared" si="121"/>
        <v>协战</v>
      </c>
      <c r="AA85" s="7" t="s">
        <v>81</v>
      </c>
      <c r="AB85" s="7" t="str">
        <f t="shared" ref="AB85:AH85" si="122">AA85</f>
        <v>无</v>
      </c>
      <c r="AC85" s="7" t="str">
        <f t="shared" si="122"/>
        <v>无</v>
      </c>
      <c r="AD85" s="7" t="str">
        <f t="shared" si="122"/>
        <v>无</v>
      </c>
      <c r="AE85" s="7" t="str">
        <f t="shared" si="122"/>
        <v>无</v>
      </c>
      <c r="AF85" s="7" t="str">
        <f t="shared" si="122"/>
        <v>无</v>
      </c>
      <c r="AG85" s="7" t="str">
        <f t="shared" si="122"/>
        <v>无</v>
      </c>
      <c r="AH85" s="7" t="str">
        <f t="shared" si="122"/>
        <v>无</v>
      </c>
      <c r="AI85" s="15">
        <v>1</v>
      </c>
      <c r="AJ85" s="15">
        <v>2</v>
      </c>
      <c r="AK85" s="15">
        <v>3</v>
      </c>
      <c r="AL85" s="15">
        <v>4</v>
      </c>
      <c r="AM85" s="15">
        <v>5</v>
      </c>
      <c r="AN85" s="15">
        <v>6</v>
      </c>
      <c r="AO85" s="15">
        <v>7</v>
      </c>
      <c r="AP85" s="15"/>
    </row>
    <row r="86" s="7" customFormat="1" hidden="1" spans="1:42">
      <c r="A86" s="15">
        <v>130030</v>
      </c>
      <c r="B86" s="15" t="s">
        <v>222</v>
      </c>
      <c r="C86" s="15" t="s">
        <v>222</v>
      </c>
      <c r="D86" s="17" t="s">
        <v>103</v>
      </c>
      <c r="E86" s="7">
        <v>2417</v>
      </c>
      <c r="F86" s="7">
        <v>-1</v>
      </c>
      <c r="G86" s="7">
        <v>0</v>
      </c>
      <c r="H86" s="7">
        <v>0</v>
      </c>
      <c r="I86" s="15" t="s">
        <v>43</v>
      </c>
      <c r="J86" s="7">
        <v>-1</v>
      </c>
      <c r="K86" s="7">
        <v>0</v>
      </c>
      <c r="L86" s="7">
        <v>0</v>
      </c>
      <c r="N86" s="24">
        <v>1</v>
      </c>
      <c r="O86" s="7">
        <v>1</v>
      </c>
      <c r="Q86" s="7" t="s">
        <v>149</v>
      </c>
      <c r="R86" s="7" t="s">
        <v>149</v>
      </c>
      <c r="S86" s="15">
        <v>27</v>
      </c>
      <c r="T86" s="7" t="str">
        <f t="shared" si="86"/>
        <v>癫狂</v>
      </c>
      <c r="U86" s="7" t="str">
        <f t="shared" ref="U86:Z86" si="123">T86</f>
        <v>癫狂</v>
      </c>
      <c r="V86" s="7" t="str">
        <f t="shared" si="123"/>
        <v>癫狂</v>
      </c>
      <c r="W86" s="7" t="str">
        <f t="shared" si="123"/>
        <v>癫狂</v>
      </c>
      <c r="X86" s="7" t="str">
        <f t="shared" si="123"/>
        <v>癫狂</v>
      </c>
      <c r="Y86" s="7" t="str">
        <f t="shared" si="123"/>
        <v>癫狂</v>
      </c>
      <c r="Z86" s="7" t="str">
        <f t="shared" si="123"/>
        <v>癫狂</v>
      </c>
      <c r="AA86" s="7" t="s">
        <v>81</v>
      </c>
      <c r="AB86" s="7" t="str">
        <f t="shared" ref="AB86:AH86" si="124">AA86</f>
        <v>无</v>
      </c>
      <c r="AC86" s="7" t="str">
        <f t="shared" si="124"/>
        <v>无</v>
      </c>
      <c r="AD86" s="7" t="str">
        <f t="shared" si="124"/>
        <v>无</v>
      </c>
      <c r="AE86" s="7" t="str">
        <f t="shared" si="124"/>
        <v>无</v>
      </c>
      <c r="AF86" s="7" t="str">
        <f t="shared" si="124"/>
        <v>无</v>
      </c>
      <c r="AG86" s="7" t="str">
        <f t="shared" si="124"/>
        <v>无</v>
      </c>
      <c r="AH86" s="7" t="str">
        <f t="shared" si="124"/>
        <v>无</v>
      </c>
      <c r="AI86" s="15">
        <v>1</v>
      </c>
      <c r="AJ86" s="15">
        <v>2</v>
      </c>
      <c r="AK86" s="15">
        <v>3</v>
      </c>
      <c r="AL86" s="15">
        <v>4</v>
      </c>
      <c r="AM86" s="15">
        <v>5</v>
      </c>
      <c r="AN86" s="15">
        <v>6</v>
      </c>
      <c r="AO86" s="15">
        <v>7</v>
      </c>
      <c r="AP86" s="15"/>
    </row>
    <row r="87" s="7" customFormat="1" hidden="1" spans="1:42">
      <c r="A87" s="15">
        <v>130031</v>
      </c>
      <c r="B87" s="15" t="s">
        <v>223</v>
      </c>
      <c r="C87" s="15" t="s">
        <v>223</v>
      </c>
      <c r="D87" s="17" t="s">
        <v>95</v>
      </c>
      <c r="E87" s="7">
        <v>2418</v>
      </c>
      <c r="F87" s="7">
        <v>-1</v>
      </c>
      <c r="G87" s="7">
        <v>0</v>
      </c>
      <c r="H87" s="7">
        <v>0</v>
      </c>
      <c r="I87" s="15" t="s">
        <v>43</v>
      </c>
      <c r="J87" s="7">
        <v>-1</v>
      </c>
      <c r="K87" s="7">
        <v>0</v>
      </c>
      <c r="L87" s="7">
        <v>0</v>
      </c>
      <c r="N87" s="24">
        <v>1</v>
      </c>
      <c r="O87" s="7">
        <v>1</v>
      </c>
      <c r="Q87" s="7" t="s">
        <v>149</v>
      </c>
      <c r="R87" s="7" t="s">
        <v>149</v>
      </c>
      <c r="S87" s="15">
        <v>28</v>
      </c>
      <c r="T87" s="7" t="str">
        <f t="shared" si="86"/>
        <v>肝胆</v>
      </c>
      <c r="U87" s="7" t="str">
        <f t="shared" ref="U87:Z87" si="125">T87</f>
        <v>肝胆</v>
      </c>
      <c r="V87" s="7" t="str">
        <f t="shared" si="125"/>
        <v>肝胆</v>
      </c>
      <c r="W87" s="7" t="str">
        <f t="shared" si="125"/>
        <v>肝胆</v>
      </c>
      <c r="X87" s="7" t="str">
        <f t="shared" si="125"/>
        <v>肝胆</v>
      </c>
      <c r="Y87" s="7" t="str">
        <f t="shared" si="125"/>
        <v>肝胆</v>
      </c>
      <c r="Z87" s="7" t="str">
        <f t="shared" si="125"/>
        <v>肝胆</v>
      </c>
      <c r="AA87" s="7" t="s">
        <v>81</v>
      </c>
      <c r="AB87" s="7" t="str">
        <f t="shared" ref="AB87:AH87" si="126">AA87</f>
        <v>无</v>
      </c>
      <c r="AC87" s="7" t="str">
        <f t="shared" si="126"/>
        <v>无</v>
      </c>
      <c r="AD87" s="7" t="str">
        <f t="shared" si="126"/>
        <v>无</v>
      </c>
      <c r="AE87" s="7" t="str">
        <f t="shared" si="126"/>
        <v>无</v>
      </c>
      <c r="AF87" s="7" t="str">
        <f t="shared" si="126"/>
        <v>无</v>
      </c>
      <c r="AG87" s="7" t="str">
        <f t="shared" si="126"/>
        <v>无</v>
      </c>
      <c r="AH87" s="7" t="str">
        <f t="shared" si="126"/>
        <v>无</v>
      </c>
      <c r="AI87" s="15">
        <v>1</v>
      </c>
      <c r="AJ87" s="15">
        <v>2</v>
      </c>
      <c r="AK87" s="15">
        <v>3</v>
      </c>
      <c r="AL87" s="15">
        <v>4</v>
      </c>
      <c r="AM87" s="15">
        <v>5</v>
      </c>
      <c r="AN87" s="15">
        <v>6</v>
      </c>
      <c r="AO87" s="15">
        <v>7</v>
      </c>
      <c r="AP87" s="15"/>
    </row>
    <row r="88" s="7" customFormat="1" hidden="1" spans="1:42">
      <c r="A88" s="15">
        <v>130032</v>
      </c>
      <c r="B88" s="15" t="s">
        <v>224</v>
      </c>
      <c r="C88" s="15" t="s">
        <v>224</v>
      </c>
      <c r="D88" s="20" t="s">
        <v>113</v>
      </c>
      <c r="E88" s="7">
        <v>2380</v>
      </c>
      <c r="F88" s="7">
        <v>-1</v>
      </c>
      <c r="G88" s="7">
        <v>0</v>
      </c>
      <c r="H88" s="7">
        <v>0</v>
      </c>
      <c r="I88" s="15" t="s">
        <v>43</v>
      </c>
      <c r="J88" s="7">
        <v>-1</v>
      </c>
      <c r="K88" s="7">
        <v>0</v>
      </c>
      <c r="L88" s="7">
        <v>0</v>
      </c>
      <c r="N88" s="24">
        <v>1</v>
      </c>
      <c r="O88" s="7">
        <v>1</v>
      </c>
      <c r="Q88" s="7" t="s">
        <v>149</v>
      </c>
      <c r="R88" s="7" t="s">
        <v>149</v>
      </c>
      <c r="S88" s="15">
        <v>29</v>
      </c>
      <c r="T88" s="7" t="str">
        <f t="shared" si="86"/>
        <v>嗜血狂魔</v>
      </c>
      <c r="U88" s="7" t="str">
        <f t="shared" ref="U88:Z88" si="127">T88</f>
        <v>嗜血狂魔</v>
      </c>
      <c r="V88" s="7" t="str">
        <f t="shared" si="127"/>
        <v>嗜血狂魔</v>
      </c>
      <c r="W88" s="7" t="str">
        <f t="shared" si="127"/>
        <v>嗜血狂魔</v>
      </c>
      <c r="X88" s="7" t="str">
        <f t="shared" si="127"/>
        <v>嗜血狂魔</v>
      </c>
      <c r="Y88" s="7" t="str">
        <f t="shared" si="127"/>
        <v>嗜血狂魔</v>
      </c>
      <c r="Z88" s="7" t="str">
        <f t="shared" si="127"/>
        <v>嗜血狂魔</v>
      </c>
      <c r="AA88" s="7" t="s">
        <v>81</v>
      </c>
      <c r="AB88" s="7" t="str">
        <f t="shared" ref="AB88:AH88" si="128">AA88</f>
        <v>无</v>
      </c>
      <c r="AC88" s="7" t="str">
        <f t="shared" si="128"/>
        <v>无</v>
      </c>
      <c r="AD88" s="7" t="str">
        <f t="shared" si="128"/>
        <v>无</v>
      </c>
      <c r="AE88" s="7" t="str">
        <f t="shared" si="128"/>
        <v>无</v>
      </c>
      <c r="AF88" s="7" t="str">
        <f t="shared" si="128"/>
        <v>无</v>
      </c>
      <c r="AG88" s="7" t="str">
        <f t="shared" si="128"/>
        <v>无</v>
      </c>
      <c r="AH88" s="7" t="str">
        <f t="shared" si="128"/>
        <v>无</v>
      </c>
      <c r="AI88" s="15">
        <v>1</v>
      </c>
      <c r="AJ88" s="15">
        <v>2</v>
      </c>
      <c r="AK88" s="15">
        <v>3</v>
      </c>
      <c r="AL88" s="15">
        <v>4</v>
      </c>
      <c r="AM88" s="15">
        <v>5</v>
      </c>
      <c r="AN88" s="15">
        <v>6</v>
      </c>
      <c r="AO88" s="15">
        <v>7</v>
      </c>
      <c r="AP88" s="15"/>
    </row>
    <row r="89" s="8" customFormat="1" spans="1:42">
      <c r="A89" s="21">
        <v>140000</v>
      </c>
      <c r="B89" s="22" t="s">
        <v>225</v>
      </c>
      <c r="C89" s="22" t="s">
        <v>225</v>
      </c>
      <c r="D89" s="23" t="s">
        <v>226</v>
      </c>
      <c r="E89" s="8">
        <v>41</v>
      </c>
      <c r="F89" s="8">
        <v>-1</v>
      </c>
      <c r="G89" s="8">
        <v>0</v>
      </c>
      <c r="H89" s="8">
        <v>0</v>
      </c>
      <c r="I89" s="25" t="s">
        <v>43</v>
      </c>
      <c r="J89" s="8">
        <v>-1</v>
      </c>
      <c r="K89" s="8">
        <v>0</v>
      </c>
      <c r="L89" s="8">
        <v>0</v>
      </c>
      <c r="N89" s="26">
        <v>1</v>
      </c>
      <c r="O89" s="8">
        <v>1</v>
      </c>
      <c r="Q89" s="23" t="s">
        <v>226</v>
      </c>
      <c r="R89" s="23" t="s">
        <v>227</v>
      </c>
      <c r="S89" s="25">
        <v>1</v>
      </c>
      <c r="T89" s="23" t="s">
        <v>227</v>
      </c>
      <c r="U89" s="23" t="s">
        <v>227</v>
      </c>
      <c r="V89" s="23" t="s">
        <v>227</v>
      </c>
      <c r="W89" s="23" t="s">
        <v>227</v>
      </c>
      <c r="X89" s="23" t="s">
        <v>227</v>
      </c>
      <c r="Y89" s="23" t="s">
        <v>227</v>
      </c>
      <c r="Z89" s="23" t="s">
        <v>227</v>
      </c>
      <c r="AA89" s="23" t="s">
        <v>228</v>
      </c>
      <c r="AB89" s="23" t="s">
        <v>229</v>
      </c>
      <c r="AC89" s="23" t="s">
        <v>229</v>
      </c>
      <c r="AD89" s="23" t="s">
        <v>229</v>
      </c>
      <c r="AE89" s="23" t="s">
        <v>229</v>
      </c>
      <c r="AF89" s="23" t="s">
        <v>229</v>
      </c>
      <c r="AG89" s="23" t="s">
        <v>229</v>
      </c>
      <c r="AH89" s="23" t="s">
        <v>229</v>
      </c>
      <c r="AI89" s="8">
        <v>1</v>
      </c>
      <c r="AJ89" s="8">
        <v>200</v>
      </c>
      <c r="AK89" s="8">
        <v>200</v>
      </c>
      <c r="AL89" s="8">
        <v>200</v>
      </c>
      <c r="AM89" s="8">
        <v>200</v>
      </c>
      <c r="AN89" s="8">
        <v>200</v>
      </c>
      <c r="AO89" s="8">
        <v>200</v>
      </c>
      <c r="AP89" s="25"/>
    </row>
    <row r="90" s="8" customFormat="1" spans="1:42">
      <c r="A90" s="21">
        <v>140001</v>
      </c>
      <c r="B90" s="22" t="s">
        <v>230</v>
      </c>
      <c r="C90" s="22" t="s">
        <v>230</v>
      </c>
      <c r="D90" s="23" t="s">
        <v>231</v>
      </c>
      <c r="E90" s="8">
        <v>42</v>
      </c>
      <c r="F90" s="8">
        <v>100</v>
      </c>
      <c r="G90" s="8">
        <v>2.4</v>
      </c>
      <c r="H90" s="8">
        <v>10</v>
      </c>
      <c r="I90" s="25" t="s">
        <v>49</v>
      </c>
      <c r="J90" s="8">
        <v>-1</v>
      </c>
      <c r="K90" s="8">
        <v>0</v>
      </c>
      <c r="L90" s="8">
        <v>0</v>
      </c>
      <c r="N90" s="26">
        <v>480</v>
      </c>
      <c r="O90" s="8">
        <v>1</v>
      </c>
      <c r="Q90" s="23" t="s">
        <v>231</v>
      </c>
      <c r="R90" s="23" t="s">
        <v>232</v>
      </c>
      <c r="S90" s="25">
        <v>2</v>
      </c>
      <c r="T90" s="23" t="s">
        <v>232</v>
      </c>
      <c r="U90" s="23" t="s">
        <v>232</v>
      </c>
      <c r="V90" s="23" t="s">
        <v>232</v>
      </c>
      <c r="W90" s="23" t="s">
        <v>232</v>
      </c>
      <c r="X90" s="23" t="s">
        <v>232</v>
      </c>
      <c r="Y90" s="23" t="s">
        <v>232</v>
      </c>
      <c r="Z90" s="23" t="s">
        <v>232</v>
      </c>
      <c r="AA90" s="4" t="s">
        <v>121</v>
      </c>
      <c r="AB90" s="4" t="s">
        <v>122</v>
      </c>
      <c r="AC90" s="4" t="s">
        <v>122</v>
      </c>
      <c r="AD90" s="4" t="s">
        <v>122</v>
      </c>
      <c r="AE90" s="4" t="s">
        <v>122</v>
      </c>
      <c r="AF90" s="4" t="s">
        <v>122</v>
      </c>
      <c r="AG90" s="4" t="s">
        <v>122</v>
      </c>
      <c r="AH90" s="4" t="s">
        <v>122</v>
      </c>
      <c r="AI90" s="8">
        <v>1</v>
      </c>
      <c r="AJ90" s="8">
        <v>60</v>
      </c>
      <c r="AK90" s="8">
        <v>70</v>
      </c>
      <c r="AL90" s="8">
        <v>90</v>
      </c>
      <c r="AM90" s="8">
        <v>200</v>
      </c>
      <c r="AN90" s="8">
        <v>200</v>
      </c>
      <c r="AO90" s="8">
        <v>200</v>
      </c>
      <c r="AP90" s="25"/>
    </row>
    <row r="91" s="8" customFormat="1" spans="1:42">
      <c r="A91" s="21">
        <v>140002</v>
      </c>
      <c r="B91" s="22" t="s">
        <v>233</v>
      </c>
      <c r="C91" s="22" t="s">
        <v>233</v>
      </c>
      <c r="D91" s="23" t="s">
        <v>234</v>
      </c>
      <c r="E91" s="8">
        <v>43</v>
      </c>
      <c r="F91" s="8">
        <v>100</v>
      </c>
      <c r="G91" s="8">
        <v>1.2</v>
      </c>
      <c r="H91" s="8">
        <v>10</v>
      </c>
      <c r="I91" s="25" t="s">
        <v>49</v>
      </c>
      <c r="J91" s="8">
        <v>-1</v>
      </c>
      <c r="K91" s="8">
        <v>0</v>
      </c>
      <c r="L91" s="8">
        <v>0</v>
      </c>
      <c r="N91" s="26">
        <v>480</v>
      </c>
      <c r="O91" s="8">
        <v>1</v>
      </c>
      <c r="Q91" s="23" t="s">
        <v>234</v>
      </c>
      <c r="R91" s="23" t="s">
        <v>235</v>
      </c>
      <c r="S91" s="25">
        <v>3</v>
      </c>
      <c r="T91" s="23" t="s">
        <v>235</v>
      </c>
      <c r="U91" s="23" t="s">
        <v>235</v>
      </c>
      <c r="V91" s="23" t="s">
        <v>235</v>
      </c>
      <c r="W91" s="23" t="s">
        <v>235</v>
      </c>
      <c r="X91" s="23" t="s">
        <v>235</v>
      </c>
      <c r="Y91" s="23" t="s">
        <v>235</v>
      </c>
      <c r="Z91" s="23" t="s">
        <v>235</v>
      </c>
      <c r="AA91" s="23" t="s">
        <v>236</v>
      </c>
      <c r="AB91" s="23" t="s">
        <v>236</v>
      </c>
      <c r="AC91" s="23" t="s">
        <v>236</v>
      </c>
      <c r="AD91" s="23" t="s">
        <v>236</v>
      </c>
      <c r="AE91" s="23" t="s">
        <v>236</v>
      </c>
      <c r="AF91" s="23" t="s">
        <v>236</v>
      </c>
      <c r="AG91" s="23" t="s">
        <v>236</v>
      </c>
      <c r="AH91" s="23" t="s">
        <v>236</v>
      </c>
      <c r="AI91" s="8">
        <v>1</v>
      </c>
      <c r="AJ91" s="8">
        <v>200</v>
      </c>
      <c r="AK91" s="8">
        <v>200</v>
      </c>
      <c r="AL91" s="8">
        <v>200</v>
      </c>
      <c r="AM91" s="8">
        <v>200</v>
      </c>
      <c r="AN91" s="8">
        <v>200</v>
      </c>
      <c r="AO91" s="8">
        <v>200</v>
      </c>
      <c r="AP91" s="25"/>
    </row>
    <row r="92" s="8" customFormat="1" spans="1:42">
      <c r="A92" s="21">
        <v>140003</v>
      </c>
      <c r="B92" s="22" t="s">
        <v>237</v>
      </c>
      <c r="C92" s="22" t="s">
        <v>237</v>
      </c>
      <c r="D92" s="23" t="s">
        <v>238</v>
      </c>
      <c r="E92" s="8">
        <v>44</v>
      </c>
      <c r="F92" s="8">
        <v>100</v>
      </c>
      <c r="G92" s="8">
        <v>1.2</v>
      </c>
      <c r="H92" s="8">
        <v>10</v>
      </c>
      <c r="I92" s="25" t="s">
        <v>49</v>
      </c>
      <c r="J92" s="8">
        <v>-1</v>
      </c>
      <c r="K92" s="8">
        <v>0</v>
      </c>
      <c r="L92" s="8">
        <v>0</v>
      </c>
      <c r="N92" s="26">
        <v>480</v>
      </c>
      <c r="O92" s="8">
        <v>1</v>
      </c>
      <c r="Q92" s="23" t="s">
        <v>238</v>
      </c>
      <c r="R92" s="23" t="s">
        <v>239</v>
      </c>
      <c r="S92" s="25">
        <v>4</v>
      </c>
      <c r="T92" s="23" t="s">
        <v>239</v>
      </c>
      <c r="U92" s="23" t="s">
        <v>239</v>
      </c>
      <c r="V92" s="23" t="s">
        <v>239</v>
      </c>
      <c r="W92" s="23" t="s">
        <v>239</v>
      </c>
      <c r="X92" s="23" t="s">
        <v>239</v>
      </c>
      <c r="Y92" s="23" t="s">
        <v>239</v>
      </c>
      <c r="Z92" s="23" t="s">
        <v>239</v>
      </c>
      <c r="AA92" s="23" t="s">
        <v>240</v>
      </c>
      <c r="AB92" s="23" t="s">
        <v>240</v>
      </c>
      <c r="AC92" s="23" t="s">
        <v>240</v>
      </c>
      <c r="AD92" s="23" t="s">
        <v>240</v>
      </c>
      <c r="AE92" s="23" t="s">
        <v>240</v>
      </c>
      <c r="AF92" s="23" t="s">
        <v>240</v>
      </c>
      <c r="AG92" s="23" t="s">
        <v>240</v>
      </c>
      <c r="AH92" s="23" t="s">
        <v>240</v>
      </c>
      <c r="AI92" s="8">
        <v>1</v>
      </c>
      <c r="AJ92" s="8">
        <v>50</v>
      </c>
      <c r="AK92" s="8">
        <v>70</v>
      </c>
      <c r="AL92" s="8">
        <v>90</v>
      </c>
      <c r="AM92" s="8">
        <v>200</v>
      </c>
      <c r="AN92" s="8">
        <v>200</v>
      </c>
      <c r="AO92" s="8">
        <v>200</v>
      </c>
      <c r="AP92" s="25"/>
    </row>
    <row r="93" s="8" customFormat="1" spans="1:42">
      <c r="A93" s="21">
        <v>140004</v>
      </c>
      <c r="B93" s="22" t="s">
        <v>241</v>
      </c>
      <c r="C93" s="22" t="s">
        <v>241</v>
      </c>
      <c r="D93" s="23" t="s">
        <v>242</v>
      </c>
      <c r="E93" s="8">
        <v>45</v>
      </c>
      <c r="F93" s="8">
        <v>100</v>
      </c>
      <c r="G93" s="8">
        <v>1.2</v>
      </c>
      <c r="H93" s="8">
        <v>10</v>
      </c>
      <c r="I93" s="25" t="s">
        <v>49</v>
      </c>
      <c r="J93" s="8">
        <v>-1</v>
      </c>
      <c r="K93" s="8">
        <v>0</v>
      </c>
      <c r="L93" s="8">
        <v>0</v>
      </c>
      <c r="N93" s="26">
        <v>4127</v>
      </c>
      <c r="O93" s="8">
        <v>1</v>
      </c>
      <c r="Q93" s="23" t="s">
        <v>242</v>
      </c>
      <c r="R93" s="23" t="s">
        <v>243</v>
      </c>
      <c r="S93" s="25">
        <v>5</v>
      </c>
      <c r="T93" s="23" t="s">
        <v>243</v>
      </c>
      <c r="U93" s="23" t="s">
        <v>243</v>
      </c>
      <c r="V93" s="23" t="s">
        <v>243</v>
      </c>
      <c r="W93" s="23" t="s">
        <v>243</v>
      </c>
      <c r="X93" s="23" t="s">
        <v>243</v>
      </c>
      <c r="Y93" s="23" t="s">
        <v>243</v>
      </c>
      <c r="Z93" s="23" t="s">
        <v>243</v>
      </c>
      <c r="AA93" s="23" t="s">
        <v>244</v>
      </c>
      <c r="AB93" s="23" t="s">
        <v>244</v>
      </c>
      <c r="AC93" s="23" t="s">
        <v>244</v>
      </c>
      <c r="AD93" s="23" t="s">
        <v>244</v>
      </c>
      <c r="AE93" s="23" t="s">
        <v>244</v>
      </c>
      <c r="AF93" s="23" t="s">
        <v>244</v>
      </c>
      <c r="AG93" s="23" t="s">
        <v>244</v>
      </c>
      <c r="AH93" s="23" t="s">
        <v>244</v>
      </c>
      <c r="AI93" s="8">
        <v>1</v>
      </c>
      <c r="AJ93" s="8">
        <v>60</v>
      </c>
      <c r="AK93" s="8">
        <v>200</v>
      </c>
      <c r="AL93" s="8">
        <v>200</v>
      </c>
      <c r="AM93" s="8">
        <v>200</v>
      </c>
      <c r="AN93" s="8">
        <v>200</v>
      </c>
      <c r="AO93" s="8">
        <v>200</v>
      </c>
      <c r="AP93" s="25"/>
    </row>
    <row r="94" s="8" customFormat="1" spans="1:42">
      <c r="A94" s="21">
        <v>140005</v>
      </c>
      <c r="B94" s="22" t="s">
        <v>245</v>
      </c>
      <c r="C94" s="22" t="s">
        <v>245</v>
      </c>
      <c r="D94" s="23" t="s">
        <v>246</v>
      </c>
      <c r="E94" s="8">
        <v>46</v>
      </c>
      <c r="F94" s="8">
        <v>100</v>
      </c>
      <c r="G94" s="8">
        <v>1.2</v>
      </c>
      <c r="H94" s="8">
        <v>10</v>
      </c>
      <c r="I94" s="25" t="s">
        <v>49</v>
      </c>
      <c r="J94" s="8">
        <v>-1</v>
      </c>
      <c r="K94" s="8">
        <v>0</v>
      </c>
      <c r="L94" s="8">
        <v>0</v>
      </c>
      <c r="N94" s="26">
        <v>4127</v>
      </c>
      <c r="O94" s="8">
        <v>1</v>
      </c>
      <c r="Q94" s="23" t="s">
        <v>246</v>
      </c>
      <c r="R94" s="23" t="s">
        <v>247</v>
      </c>
      <c r="S94" s="25">
        <v>6</v>
      </c>
      <c r="T94" s="23" t="s">
        <v>247</v>
      </c>
      <c r="U94" s="23" t="s">
        <v>247</v>
      </c>
      <c r="V94" s="23" t="s">
        <v>247</v>
      </c>
      <c r="W94" s="23" t="s">
        <v>247</v>
      </c>
      <c r="X94" s="23" t="s">
        <v>247</v>
      </c>
      <c r="Y94" s="23" t="s">
        <v>247</v>
      </c>
      <c r="Z94" s="23" t="s">
        <v>247</v>
      </c>
      <c r="AA94" s="23" t="s">
        <v>248</v>
      </c>
      <c r="AB94" s="23" t="s">
        <v>248</v>
      </c>
      <c r="AC94" s="23" t="s">
        <v>248</v>
      </c>
      <c r="AD94" s="23" t="s">
        <v>248</v>
      </c>
      <c r="AE94" s="23" t="s">
        <v>248</v>
      </c>
      <c r="AF94" s="23" t="s">
        <v>248</v>
      </c>
      <c r="AG94" s="23" t="s">
        <v>248</v>
      </c>
      <c r="AH94" s="23" t="s">
        <v>248</v>
      </c>
      <c r="AI94" s="8">
        <v>1</v>
      </c>
      <c r="AJ94" s="8">
        <v>50</v>
      </c>
      <c r="AK94" s="8">
        <v>60</v>
      </c>
      <c r="AL94" s="8">
        <v>70</v>
      </c>
      <c r="AM94" s="8">
        <v>90</v>
      </c>
      <c r="AN94" s="8">
        <v>200</v>
      </c>
      <c r="AO94" s="8">
        <v>200</v>
      </c>
      <c r="AP94" s="25"/>
    </row>
    <row r="95" s="8" customFormat="1" spans="1:42">
      <c r="A95" s="21">
        <v>140006</v>
      </c>
      <c r="B95" s="22" t="s">
        <v>249</v>
      </c>
      <c r="C95" s="22" t="s">
        <v>249</v>
      </c>
      <c r="D95" s="23" t="s">
        <v>250</v>
      </c>
      <c r="E95" s="8">
        <v>47</v>
      </c>
      <c r="F95" s="8">
        <v>-1</v>
      </c>
      <c r="G95" s="8">
        <v>0.667</v>
      </c>
      <c r="H95" s="8">
        <v>6</v>
      </c>
      <c r="I95" s="25" t="s">
        <v>71</v>
      </c>
      <c r="J95" s="8">
        <v>-1</v>
      </c>
      <c r="K95" s="8">
        <v>0</v>
      </c>
      <c r="L95" s="8">
        <v>0</v>
      </c>
      <c r="N95" s="26">
        <v>1</v>
      </c>
      <c r="O95" s="8">
        <v>1</v>
      </c>
      <c r="Q95" s="23" t="s">
        <v>250</v>
      </c>
      <c r="R95" s="23" t="s">
        <v>251</v>
      </c>
      <c r="S95" s="25">
        <v>7</v>
      </c>
      <c r="T95" s="23" t="s">
        <v>251</v>
      </c>
      <c r="U95" s="23" t="s">
        <v>251</v>
      </c>
      <c r="V95" s="23" t="s">
        <v>251</v>
      </c>
      <c r="W95" s="23" t="s">
        <v>251</v>
      </c>
      <c r="X95" s="23" t="s">
        <v>251</v>
      </c>
      <c r="Y95" s="23" t="s">
        <v>251</v>
      </c>
      <c r="Z95" s="23" t="s">
        <v>251</v>
      </c>
      <c r="AA95" s="23" t="s">
        <v>252</v>
      </c>
      <c r="AB95" s="23" t="s">
        <v>252</v>
      </c>
      <c r="AC95" s="23" t="s">
        <v>252</v>
      </c>
      <c r="AD95" s="23" t="s">
        <v>252</v>
      </c>
      <c r="AE95" s="23" t="s">
        <v>252</v>
      </c>
      <c r="AF95" s="23" t="s">
        <v>252</v>
      </c>
      <c r="AG95" s="23" t="s">
        <v>252</v>
      </c>
      <c r="AH95" s="23" t="s">
        <v>252</v>
      </c>
      <c r="AI95" s="8">
        <v>1</v>
      </c>
      <c r="AJ95" s="8">
        <v>200</v>
      </c>
      <c r="AK95" s="8">
        <v>200</v>
      </c>
      <c r="AL95" s="8">
        <v>200</v>
      </c>
      <c r="AM95" s="8">
        <v>200</v>
      </c>
      <c r="AN95" s="8">
        <v>200</v>
      </c>
      <c r="AO95" s="8">
        <v>200</v>
      </c>
      <c r="AP95" s="25"/>
    </row>
    <row r="96" s="8" customFormat="1" spans="1:42">
      <c r="A96" s="21">
        <v>140007</v>
      </c>
      <c r="B96" s="22" t="s">
        <v>253</v>
      </c>
      <c r="C96" s="22" t="s">
        <v>253</v>
      </c>
      <c r="D96" s="23" t="s">
        <v>254</v>
      </c>
      <c r="E96" s="8">
        <v>48</v>
      </c>
      <c r="F96" s="8">
        <v>120</v>
      </c>
      <c r="G96" s="8">
        <v>0</v>
      </c>
      <c r="H96" s="8">
        <v>120</v>
      </c>
      <c r="I96" s="25" t="s">
        <v>76</v>
      </c>
      <c r="J96" s="8">
        <v>-1</v>
      </c>
      <c r="K96" s="8">
        <v>0</v>
      </c>
      <c r="L96" s="8">
        <v>0</v>
      </c>
      <c r="N96" s="26">
        <v>480</v>
      </c>
      <c r="O96" s="8">
        <v>1</v>
      </c>
      <c r="Q96" s="23" t="s">
        <v>254</v>
      </c>
      <c r="R96" s="23" t="s">
        <v>255</v>
      </c>
      <c r="S96" s="25">
        <v>8</v>
      </c>
      <c r="T96" s="23" t="s">
        <v>255</v>
      </c>
      <c r="U96" s="23" t="s">
        <v>255</v>
      </c>
      <c r="V96" s="23" t="s">
        <v>255</v>
      </c>
      <c r="W96" s="23" t="s">
        <v>255</v>
      </c>
      <c r="X96" s="23" t="s">
        <v>255</v>
      </c>
      <c r="Y96" s="23" t="s">
        <v>255</v>
      </c>
      <c r="Z96" s="23" t="s">
        <v>255</v>
      </c>
      <c r="AA96" s="23" t="s">
        <v>78</v>
      </c>
      <c r="AB96" s="23" t="s">
        <v>78</v>
      </c>
      <c r="AC96" s="23" t="s">
        <v>78</v>
      </c>
      <c r="AD96" s="23" t="s">
        <v>78</v>
      </c>
      <c r="AE96" s="23" t="s">
        <v>78</v>
      </c>
      <c r="AF96" s="23" t="s">
        <v>78</v>
      </c>
      <c r="AG96" s="23" t="s">
        <v>78</v>
      </c>
      <c r="AH96" s="23" t="s">
        <v>78</v>
      </c>
      <c r="AI96" s="8">
        <v>1</v>
      </c>
      <c r="AJ96" s="8">
        <v>2</v>
      </c>
      <c r="AK96" s="8">
        <v>3</v>
      </c>
      <c r="AL96" s="8">
        <v>4</v>
      </c>
      <c r="AM96" s="8">
        <v>5</v>
      </c>
      <c r="AN96" s="8">
        <v>6</v>
      </c>
      <c r="AO96" s="8">
        <v>7</v>
      </c>
      <c r="AP96" s="25"/>
    </row>
    <row r="97" s="7" customFormat="1" hidden="1" spans="1:42">
      <c r="A97" s="15">
        <v>140012</v>
      </c>
      <c r="B97" s="15" t="s">
        <v>256</v>
      </c>
      <c r="C97" s="15" t="s">
        <v>256</v>
      </c>
      <c r="D97" s="16" t="s">
        <v>80</v>
      </c>
      <c r="E97" s="7">
        <v>2419</v>
      </c>
      <c r="F97" s="7">
        <v>-1</v>
      </c>
      <c r="G97" s="7">
        <v>0</v>
      </c>
      <c r="H97" s="7">
        <v>0</v>
      </c>
      <c r="I97" s="15" t="s">
        <v>43</v>
      </c>
      <c r="J97" s="7">
        <v>-1</v>
      </c>
      <c r="K97" s="7">
        <v>0</v>
      </c>
      <c r="L97" s="7">
        <v>0</v>
      </c>
      <c r="N97" s="24">
        <v>1</v>
      </c>
      <c r="O97" s="7">
        <v>1</v>
      </c>
      <c r="Q97" s="7" t="s">
        <v>149</v>
      </c>
      <c r="R97" s="7" t="s">
        <v>149</v>
      </c>
      <c r="S97" s="15">
        <v>9</v>
      </c>
      <c r="T97" s="7" t="str">
        <f t="shared" ref="T97:T117" si="129">B97</f>
        <v>阎罗</v>
      </c>
      <c r="U97" s="7" t="str">
        <f t="shared" ref="U97:Z97" si="130">T97</f>
        <v>阎罗</v>
      </c>
      <c r="V97" s="7" t="str">
        <f t="shared" si="130"/>
        <v>阎罗</v>
      </c>
      <c r="W97" s="7" t="str">
        <f t="shared" si="130"/>
        <v>阎罗</v>
      </c>
      <c r="X97" s="7" t="str">
        <f t="shared" si="130"/>
        <v>阎罗</v>
      </c>
      <c r="Y97" s="7" t="str">
        <f t="shared" si="130"/>
        <v>阎罗</v>
      </c>
      <c r="Z97" s="7" t="str">
        <f t="shared" si="130"/>
        <v>阎罗</v>
      </c>
      <c r="AA97" s="7" t="s">
        <v>81</v>
      </c>
      <c r="AB97" s="7" t="str">
        <f t="shared" ref="AB97:AH97" si="131">AA97</f>
        <v>无</v>
      </c>
      <c r="AC97" s="7" t="str">
        <f t="shared" si="131"/>
        <v>无</v>
      </c>
      <c r="AD97" s="7" t="str">
        <f t="shared" si="131"/>
        <v>无</v>
      </c>
      <c r="AE97" s="7" t="str">
        <f t="shared" si="131"/>
        <v>无</v>
      </c>
      <c r="AF97" s="7" t="str">
        <f t="shared" si="131"/>
        <v>无</v>
      </c>
      <c r="AG97" s="7" t="str">
        <f t="shared" si="131"/>
        <v>无</v>
      </c>
      <c r="AH97" s="7" t="str">
        <f t="shared" si="131"/>
        <v>无</v>
      </c>
      <c r="AI97" s="15">
        <v>1</v>
      </c>
      <c r="AJ97" s="15">
        <v>2</v>
      </c>
      <c r="AK97" s="15">
        <v>3</v>
      </c>
      <c r="AL97" s="15">
        <v>4</v>
      </c>
      <c r="AM97" s="15">
        <v>5</v>
      </c>
      <c r="AN97" s="15">
        <v>6</v>
      </c>
      <c r="AO97" s="15">
        <v>7</v>
      </c>
      <c r="AP97" s="15"/>
    </row>
    <row r="98" s="7" customFormat="1" hidden="1" spans="1:42">
      <c r="A98" s="15">
        <v>140013</v>
      </c>
      <c r="B98" s="15" t="s">
        <v>257</v>
      </c>
      <c r="C98" s="15" t="s">
        <v>257</v>
      </c>
      <c r="D98" s="16" t="s">
        <v>83</v>
      </c>
      <c r="E98" s="7">
        <v>2420</v>
      </c>
      <c r="F98" s="7">
        <v>-1</v>
      </c>
      <c r="G98" s="7">
        <v>0</v>
      </c>
      <c r="H98" s="7">
        <v>0</v>
      </c>
      <c r="I98" s="15" t="s">
        <v>43</v>
      </c>
      <c r="J98" s="7">
        <v>-1</v>
      </c>
      <c r="K98" s="7">
        <v>0</v>
      </c>
      <c r="L98" s="7">
        <v>0</v>
      </c>
      <c r="N98" s="24">
        <v>1</v>
      </c>
      <c r="O98" s="7">
        <v>1</v>
      </c>
      <c r="Q98" s="7" t="s">
        <v>149</v>
      </c>
      <c r="R98" s="7" t="s">
        <v>149</v>
      </c>
      <c r="S98" s="15">
        <v>10</v>
      </c>
      <c r="T98" s="7" t="str">
        <f t="shared" si="129"/>
        <v>入骨</v>
      </c>
      <c r="U98" s="7" t="str">
        <f t="shared" ref="U98:Z98" si="132">T98</f>
        <v>入骨</v>
      </c>
      <c r="V98" s="7" t="str">
        <f t="shared" si="132"/>
        <v>入骨</v>
      </c>
      <c r="W98" s="7" t="str">
        <f t="shared" si="132"/>
        <v>入骨</v>
      </c>
      <c r="X98" s="7" t="str">
        <f t="shared" si="132"/>
        <v>入骨</v>
      </c>
      <c r="Y98" s="7" t="str">
        <f t="shared" si="132"/>
        <v>入骨</v>
      </c>
      <c r="Z98" s="7" t="str">
        <f t="shared" si="132"/>
        <v>入骨</v>
      </c>
      <c r="AA98" s="7" t="s">
        <v>81</v>
      </c>
      <c r="AB98" s="7" t="str">
        <f t="shared" ref="AB98:AH98" si="133">AA98</f>
        <v>无</v>
      </c>
      <c r="AC98" s="7" t="str">
        <f t="shared" si="133"/>
        <v>无</v>
      </c>
      <c r="AD98" s="7" t="str">
        <f t="shared" si="133"/>
        <v>无</v>
      </c>
      <c r="AE98" s="7" t="str">
        <f t="shared" si="133"/>
        <v>无</v>
      </c>
      <c r="AF98" s="7" t="str">
        <f t="shared" si="133"/>
        <v>无</v>
      </c>
      <c r="AG98" s="7" t="str">
        <f t="shared" si="133"/>
        <v>无</v>
      </c>
      <c r="AH98" s="7" t="str">
        <f t="shared" si="133"/>
        <v>无</v>
      </c>
      <c r="AI98" s="15">
        <v>1</v>
      </c>
      <c r="AJ98" s="15">
        <v>2</v>
      </c>
      <c r="AK98" s="15">
        <v>3</v>
      </c>
      <c r="AL98" s="15">
        <v>4</v>
      </c>
      <c r="AM98" s="15">
        <v>5</v>
      </c>
      <c r="AN98" s="15">
        <v>6</v>
      </c>
      <c r="AO98" s="15">
        <v>7</v>
      </c>
      <c r="AP98" s="15"/>
    </row>
    <row r="99" s="7" customFormat="1" hidden="1" spans="1:42">
      <c r="A99" s="15">
        <v>140014</v>
      </c>
      <c r="B99" s="15" t="s">
        <v>258</v>
      </c>
      <c r="C99" s="15" t="s">
        <v>258</v>
      </c>
      <c r="D99" s="17" t="s">
        <v>85</v>
      </c>
      <c r="E99" s="7">
        <v>2421</v>
      </c>
      <c r="F99" s="7">
        <v>-1</v>
      </c>
      <c r="G99" s="7">
        <v>0</v>
      </c>
      <c r="H99" s="7">
        <v>0</v>
      </c>
      <c r="I99" s="15" t="s">
        <v>43</v>
      </c>
      <c r="J99" s="7">
        <v>-1</v>
      </c>
      <c r="K99" s="7">
        <v>0</v>
      </c>
      <c r="L99" s="7">
        <v>0</v>
      </c>
      <c r="N99" s="24">
        <v>1</v>
      </c>
      <c r="O99" s="7">
        <v>1</v>
      </c>
      <c r="Q99" s="7" t="s">
        <v>149</v>
      </c>
      <c r="R99" s="7" t="s">
        <v>149</v>
      </c>
      <c r="S99" s="15">
        <v>11</v>
      </c>
      <c r="T99" s="7" t="str">
        <f t="shared" si="129"/>
        <v>索魂</v>
      </c>
      <c r="U99" s="7" t="str">
        <f t="shared" ref="U99:Z99" si="134">T99</f>
        <v>索魂</v>
      </c>
      <c r="V99" s="7" t="str">
        <f t="shared" si="134"/>
        <v>索魂</v>
      </c>
      <c r="W99" s="7" t="str">
        <f t="shared" si="134"/>
        <v>索魂</v>
      </c>
      <c r="X99" s="7" t="str">
        <f t="shared" si="134"/>
        <v>索魂</v>
      </c>
      <c r="Y99" s="7" t="str">
        <f t="shared" si="134"/>
        <v>索魂</v>
      </c>
      <c r="Z99" s="7" t="str">
        <f t="shared" si="134"/>
        <v>索魂</v>
      </c>
      <c r="AA99" s="7" t="s">
        <v>81</v>
      </c>
      <c r="AB99" s="7" t="str">
        <f t="shared" ref="AB99:AH99" si="135">AA99</f>
        <v>无</v>
      </c>
      <c r="AC99" s="7" t="str">
        <f t="shared" si="135"/>
        <v>无</v>
      </c>
      <c r="AD99" s="7" t="str">
        <f t="shared" si="135"/>
        <v>无</v>
      </c>
      <c r="AE99" s="7" t="str">
        <f t="shared" si="135"/>
        <v>无</v>
      </c>
      <c r="AF99" s="7" t="str">
        <f t="shared" si="135"/>
        <v>无</v>
      </c>
      <c r="AG99" s="7" t="str">
        <f t="shared" si="135"/>
        <v>无</v>
      </c>
      <c r="AH99" s="7" t="str">
        <f t="shared" si="135"/>
        <v>无</v>
      </c>
      <c r="AI99" s="15">
        <v>1</v>
      </c>
      <c r="AJ99" s="15">
        <v>2</v>
      </c>
      <c r="AK99" s="15">
        <v>3</v>
      </c>
      <c r="AL99" s="15">
        <v>4</v>
      </c>
      <c r="AM99" s="15">
        <v>5</v>
      </c>
      <c r="AN99" s="15">
        <v>6</v>
      </c>
      <c r="AO99" s="15">
        <v>7</v>
      </c>
      <c r="AP99" s="15"/>
    </row>
    <row r="100" s="7" customFormat="1" hidden="1" spans="1:42">
      <c r="A100" s="15">
        <v>140015</v>
      </c>
      <c r="B100" s="15" t="s">
        <v>259</v>
      </c>
      <c r="C100" s="15" t="s">
        <v>259</v>
      </c>
      <c r="D100" s="18" t="s">
        <v>87</v>
      </c>
      <c r="E100" s="7">
        <v>2422</v>
      </c>
      <c r="F100" s="7">
        <v>-1</v>
      </c>
      <c r="G100" s="7">
        <v>0</v>
      </c>
      <c r="H100" s="7">
        <v>0</v>
      </c>
      <c r="I100" s="15" t="s">
        <v>43</v>
      </c>
      <c r="J100" s="7">
        <v>-1</v>
      </c>
      <c r="K100" s="7">
        <v>0</v>
      </c>
      <c r="L100" s="7">
        <v>0</v>
      </c>
      <c r="N100" s="24">
        <v>1</v>
      </c>
      <c r="O100" s="7">
        <v>1</v>
      </c>
      <c r="Q100" s="7" t="s">
        <v>149</v>
      </c>
      <c r="R100" s="7" t="s">
        <v>149</v>
      </c>
      <c r="S100" s="15">
        <v>12</v>
      </c>
      <c r="T100" s="7" t="str">
        <f t="shared" si="129"/>
        <v>黄泉</v>
      </c>
      <c r="U100" s="7" t="str">
        <f t="shared" ref="U100:Z100" si="136">T100</f>
        <v>黄泉</v>
      </c>
      <c r="V100" s="7" t="str">
        <f t="shared" si="136"/>
        <v>黄泉</v>
      </c>
      <c r="W100" s="7" t="str">
        <f t="shared" si="136"/>
        <v>黄泉</v>
      </c>
      <c r="X100" s="7" t="str">
        <f t="shared" si="136"/>
        <v>黄泉</v>
      </c>
      <c r="Y100" s="7" t="str">
        <f t="shared" si="136"/>
        <v>黄泉</v>
      </c>
      <c r="Z100" s="7" t="str">
        <f t="shared" si="136"/>
        <v>黄泉</v>
      </c>
      <c r="AA100" s="7" t="s">
        <v>81</v>
      </c>
      <c r="AB100" s="7" t="str">
        <f t="shared" ref="AB100:AH100" si="137">AA100</f>
        <v>无</v>
      </c>
      <c r="AC100" s="7" t="str">
        <f t="shared" si="137"/>
        <v>无</v>
      </c>
      <c r="AD100" s="7" t="str">
        <f t="shared" si="137"/>
        <v>无</v>
      </c>
      <c r="AE100" s="7" t="str">
        <f t="shared" si="137"/>
        <v>无</v>
      </c>
      <c r="AF100" s="7" t="str">
        <f t="shared" si="137"/>
        <v>无</v>
      </c>
      <c r="AG100" s="7" t="str">
        <f t="shared" si="137"/>
        <v>无</v>
      </c>
      <c r="AH100" s="7" t="str">
        <f t="shared" si="137"/>
        <v>无</v>
      </c>
      <c r="AI100" s="15">
        <v>1</v>
      </c>
      <c r="AJ100" s="15">
        <v>2</v>
      </c>
      <c r="AK100" s="15">
        <v>3</v>
      </c>
      <c r="AL100" s="15">
        <v>4</v>
      </c>
      <c r="AM100" s="15">
        <v>5</v>
      </c>
      <c r="AN100" s="15">
        <v>6</v>
      </c>
      <c r="AO100" s="15">
        <v>7</v>
      </c>
      <c r="AP100" s="15"/>
    </row>
    <row r="101" s="7" customFormat="1" hidden="1" spans="1:42">
      <c r="A101" s="15">
        <v>140016</v>
      </c>
      <c r="B101" s="15" t="s">
        <v>260</v>
      </c>
      <c r="C101" s="15" t="s">
        <v>260</v>
      </c>
      <c r="D101" s="17" t="s">
        <v>89</v>
      </c>
      <c r="E101" s="7">
        <v>2423</v>
      </c>
      <c r="F101" s="7">
        <v>-1</v>
      </c>
      <c r="G101" s="7">
        <v>0</v>
      </c>
      <c r="H101" s="7">
        <v>0</v>
      </c>
      <c r="I101" s="15" t="s">
        <v>43</v>
      </c>
      <c r="J101" s="7">
        <v>-1</v>
      </c>
      <c r="K101" s="7">
        <v>0</v>
      </c>
      <c r="L101" s="7">
        <v>0</v>
      </c>
      <c r="N101" s="24">
        <v>1</v>
      </c>
      <c r="O101" s="7">
        <v>1</v>
      </c>
      <c r="Q101" s="7" t="s">
        <v>149</v>
      </c>
      <c r="R101" s="7" t="s">
        <v>149</v>
      </c>
      <c r="S101" s="15">
        <v>13</v>
      </c>
      <c r="T101" s="7" t="str">
        <f t="shared" si="129"/>
        <v>幽光</v>
      </c>
      <c r="U101" s="7" t="str">
        <f t="shared" ref="U101:Z101" si="138">T101</f>
        <v>幽光</v>
      </c>
      <c r="V101" s="7" t="str">
        <f t="shared" si="138"/>
        <v>幽光</v>
      </c>
      <c r="W101" s="7" t="str">
        <f t="shared" si="138"/>
        <v>幽光</v>
      </c>
      <c r="X101" s="7" t="str">
        <f t="shared" si="138"/>
        <v>幽光</v>
      </c>
      <c r="Y101" s="7" t="str">
        <f t="shared" si="138"/>
        <v>幽光</v>
      </c>
      <c r="Z101" s="7" t="str">
        <f t="shared" si="138"/>
        <v>幽光</v>
      </c>
      <c r="AA101" s="7" t="s">
        <v>81</v>
      </c>
      <c r="AB101" s="7" t="str">
        <f t="shared" ref="AB101:AH101" si="139">AA101</f>
        <v>无</v>
      </c>
      <c r="AC101" s="7" t="str">
        <f t="shared" si="139"/>
        <v>无</v>
      </c>
      <c r="AD101" s="7" t="str">
        <f t="shared" si="139"/>
        <v>无</v>
      </c>
      <c r="AE101" s="7" t="str">
        <f t="shared" si="139"/>
        <v>无</v>
      </c>
      <c r="AF101" s="7" t="str">
        <f t="shared" si="139"/>
        <v>无</v>
      </c>
      <c r="AG101" s="7" t="str">
        <f t="shared" si="139"/>
        <v>无</v>
      </c>
      <c r="AH101" s="7" t="str">
        <f t="shared" si="139"/>
        <v>无</v>
      </c>
      <c r="AI101" s="15">
        <v>1</v>
      </c>
      <c r="AJ101" s="15">
        <v>2</v>
      </c>
      <c r="AK101" s="15">
        <v>3</v>
      </c>
      <c r="AL101" s="15">
        <v>4</v>
      </c>
      <c r="AM101" s="15">
        <v>5</v>
      </c>
      <c r="AN101" s="15">
        <v>6</v>
      </c>
      <c r="AO101" s="15">
        <v>7</v>
      </c>
      <c r="AP101" s="15"/>
    </row>
    <row r="102" s="7" customFormat="1" hidden="1" spans="1:42">
      <c r="A102" s="15">
        <v>140017</v>
      </c>
      <c r="B102" s="15" t="s">
        <v>261</v>
      </c>
      <c r="C102" s="15" t="s">
        <v>261</v>
      </c>
      <c r="D102" s="17" t="s">
        <v>91</v>
      </c>
      <c r="E102" s="7">
        <v>2424</v>
      </c>
      <c r="F102" s="7">
        <v>-1</v>
      </c>
      <c r="G102" s="7">
        <v>0</v>
      </c>
      <c r="H102" s="7">
        <v>0</v>
      </c>
      <c r="I102" s="15" t="s">
        <v>43</v>
      </c>
      <c r="J102" s="7">
        <v>-1</v>
      </c>
      <c r="K102" s="7">
        <v>0</v>
      </c>
      <c r="L102" s="7">
        <v>0</v>
      </c>
      <c r="N102" s="24">
        <v>1</v>
      </c>
      <c r="O102" s="7">
        <v>1</v>
      </c>
      <c r="Q102" s="7" t="s">
        <v>149</v>
      </c>
      <c r="R102" s="7" t="s">
        <v>149</v>
      </c>
      <c r="S102" s="15">
        <v>14</v>
      </c>
      <c r="T102" s="7" t="str">
        <f t="shared" si="129"/>
        <v>魂飞</v>
      </c>
      <c r="U102" s="7" t="str">
        <f t="shared" ref="U102:Z102" si="140">T102</f>
        <v>魂飞</v>
      </c>
      <c r="V102" s="7" t="str">
        <f t="shared" si="140"/>
        <v>魂飞</v>
      </c>
      <c r="W102" s="7" t="str">
        <f t="shared" si="140"/>
        <v>魂飞</v>
      </c>
      <c r="X102" s="7" t="str">
        <f t="shared" si="140"/>
        <v>魂飞</v>
      </c>
      <c r="Y102" s="7" t="str">
        <f t="shared" si="140"/>
        <v>魂飞</v>
      </c>
      <c r="Z102" s="7" t="str">
        <f t="shared" si="140"/>
        <v>魂飞</v>
      </c>
      <c r="AA102" s="7" t="s">
        <v>81</v>
      </c>
      <c r="AB102" s="7" t="str">
        <f t="shared" ref="AB102:AH102" si="141">AA102</f>
        <v>无</v>
      </c>
      <c r="AC102" s="7" t="str">
        <f t="shared" si="141"/>
        <v>无</v>
      </c>
      <c r="AD102" s="7" t="str">
        <f t="shared" si="141"/>
        <v>无</v>
      </c>
      <c r="AE102" s="7" t="str">
        <f t="shared" si="141"/>
        <v>无</v>
      </c>
      <c r="AF102" s="7" t="str">
        <f t="shared" si="141"/>
        <v>无</v>
      </c>
      <c r="AG102" s="7" t="str">
        <f t="shared" si="141"/>
        <v>无</v>
      </c>
      <c r="AH102" s="7" t="str">
        <f t="shared" si="141"/>
        <v>无</v>
      </c>
      <c r="AI102" s="15">
        <v>1</v>
      </c>
      <c r="AJ102" s="15">
        <v>2</v>
      </c>
      <c r="AK102" s="15">
        <v>3</v>
      </c>
      <c r="AL102" s="15">
        <v>4</v>
      </c>
      <c r="AM102" s="15">
        <v>5</v>
      </c>
      <c r="AN102" s="15">
        <v>6</v>
      </c>
      <c r="AO102" s="15">
        <v>7</v>
      </c>
      <c r="AP102" s="15"/>
    </row>
    <row r="103" s="7" customFormat="1" hidden="1" spans="1:42">
      <c r="A103" s="15">
        <v>140018</v>
      </c>
      <c r="B103" s="15" t="s">
        <v>92</v>
      </c>
      <c r="C103" s="15" t="s">
        <v>92</v>
      </c>
      <c r="D103" s="19" t="s">
        <v>93</v>
      </c>
      <c r="E103" s="7">
        <v>2379</v>
      </c>
      <c r="F103" s="7">
        <v>-1</v>
      </c>
      <c r="G103" s="7">
        <v>0</v>
      </c>
      <c r="H103" s="7">
        <v>0</v>
      </c>
      <c r="I103" s="15" t="s">
        <v>43</v>
      </c>
      <c r="J103" s="7">
        <v>-1</v>
      </c>
      <c r="K103" s="7">
        <v>0</v>
      </c>
      <c r="L103" s="7">
        <v>0</v>
      </c>
      <c r="N103" s="24">
        <v>1</v>
      </c>
      <c r="O103" s="7">
        <v>1</v>
      </c>
      <c r="Q103" s="7" t="s">
        <v>149</v>
      </c>
      <c r="R103" s="7" t="s">
        <v>149</v>
      </c>
      <c r="S103" s="15">
        <v>15</v>
      </c>
      <c r="T103" s="7" t="str">
        <f t="shared" si="129"/>
        <v>额外能力</v>
      </c>
      <c r="U103" s="7" t="str">
        <f t="shared" ref="U103:Z103" si="142">T103</f>
        <v>额外能力</v>
      </c>
      <c r="V103" s="7" t="str">
        <f t="shared" si="142"/>
        <v>额外能力</v>
      </c>
      <c r="W103" s="7" t="str">
        <f t="shared" si="142"/>
        <v>额外能力</v>
      </c>
      <c r="X103" s="7" t="str">
        <f t="shared" si="142"/>
        <v>额外能力</v>
      </c>
      <c r="Y103" s="7" t="str">
        <f t="shared" si="142"/>
        <v>额外能力</v>
      </c>
      <c r="Z103" s="7" t="str">
        <f t="shared" si="142"/>
        <v>额外能力</v>
      </c>
      <c r="AA103" s="7" t="s">
        <v>81</v>
      </c>
      <c r="AB103" s="7" t="str">
        <f t="shared" ref="AB103:AH103" si="143">AA103</f>
        <v>无</v>
      </c>
      <c r="AC103" s="7" t="str">
        <f t="shared" si="143"/>
        <v>无</v>
      </c>
      <c r="AD103" s="7" t="str">
        <f t="shared" si="143"/>
        <v>无</v>
      </c>
      <c r="AE103" s="7" t="str">
        <f t="shared" si="143"/>
        <v>无</v>
      </c>
      <c r="AF103" s="7" t="str">
        <f t="shared" si="143"/>
        <v>无</v>
      </c>
      <c r="AG103" s="7" t="str">
        <f t="shared" si="143"/>
        <v>无</v>
      </c>
      <c r="AH103" s="7" t="str">
        <f t="shared" si="143"/>
        <v>无</v>
      </c>
      <c r="AI103" s="15">
        <v>1</v>
      </c>
      <c r="AJ103" s="15">
        <v>2</v>
      </c>
      <c r="AK103" s="15">
        <v>3</v>
      </c>
      <c r="AL103" s="15">
        <v>4</v>
      </c>
      <c r="AM103" s="15">
        <v>5</v>
      </c>
      <c r="AN103" s="15">
        <v>6</v>
      </c>
      <c r="AO103" s="15">
        <v>7</v>
      </c>
      <c r="AP103" s="15"/>
    </row>
    <row r="104" s="7" customFormat="1" hidden="1" spans="1:42">
      <c r="A104" s="15">
        <v>140019</v>
      </c>
      <c r="B104" s="15" t="s">
        <v>262</v>
      </c>
      <c r="C104" s="15" t="s">
        <v>262</v>
      </c>
      <c r="D104" s="17" t="s">
        <v>95</v>
      </c>
      <c r="E104" s="7">
        <v>2425</v>
      </c>
      <c r="F104" s="7">
        <v>-1</v>
      </c>
      <c r="G104" s="7">
        <v>0</v>
      </c>
      <c r="H104" s="7">
        <v>0</v>
      </c>
      <c r="I104" s="15" t="s">
        <v>43</v>
      </c>
      <c r="J104" s="7">
        <v>-1</v>
      </c>
      <c r="K104" s="7">
        <v>0</v>
      </c>
      <c r="L104" s="7">
        <v>0</v>
      </c>
      <c r="N104" s="24">
        <v>1</v>
      </c>
      <c r="O104" s="7">
        <v>1</v>
      </c>
      <c r="Q104" s="7" t="s">
        <v>149</v>
      </c>
      <c r="R104" s="7" t="s">
        <v>149</v>
      </c>
      <c r="S104" s="15">
        <v>16</v>
      </c>
      <c r="T104" s="7" t="str">
        <f t="shared" si="129"/>
        <v>回旋</v>
      </c>
      <c r="U104" s="7" t="str">
        <f t="shared" ref="U104:Z104" si="144">T104</f>
        <v>回旋</v>
      </c>
      <c r="V104" s="7" t="str">
        <f t="shared" si="144"/>
        <v>回旋</v>
      </c>
      <c r="W104" s="7" t="str">
        <f t="shared" si="144"/>
        <v>回旋</v>
      </c>
      <c r="X104" s="7" t="str">
        <f t="shared" si="144"/>
        <v>回旋</v>
      </c>
      <c r="Y104" s="7" t="str">
        <f t="shared" si="144"/>
        <v>回旋</v>
      </c>
      <c r="Z104" s="7" t="str">
        <f t="shared" si="144"/>
        <v>回旋</v>
      </c>
      <c r="AA104" s="7" t="s">
        <v>81</v>
      </c>
      <c r="AB104" s="7" t="str">
        <f t="shared" ref="AB104:AH104" si="145">AA104</f>
        <v>无</v>
      </c>
      <c r="AC104" s="7" t="str">
        <f t="shared" si="145"/>
        <v>无</v>
      </c>
      <c r="AD104" s="7" t="str">
        <f t="shared" si="145"/>
        <v>无</v>
      </c>
      <c r="AE104" s="7" t="str">
        <f t="shared" si="145"/>
        <v>无</v>
      </c>
      <c r="AF104" s="7" t="str">
        <f t="shared" si="145"/>
        <v>无</v>
      </c>
      <c r="AG104" s="7" t="str">
        <f t="shared" si="145"/>
        <v>无</v>
      </c>
      <c r="AH104" s="7" t="str">
        <f t="shared" si="145"/>
        <v>无</v>
      </c>
      <c r="AI104" s="15">
        <v>1</v>
      </c>
      <c r="AJ104" s="15">
        <v>2</v>
      </c>
      <c r="AK104" s="15">
        <v>3</v>
      </c>
      <c r="AL104" s="15">
        <v>4</v>
      </c>
      <c r="AM104" s="15">
        <v>5</v>
      </c>
      <c r="AN104" s="15">
        <v>6</v>
      </c>
      <c r="AO104" s="15">
        <v>7</v>
      </c>
      <c r="AP104" s="15"/>
    </row>
    <row r="105" s="7" customFormat="1" hidden="1" spans="1:42">
      <c r="A105" s="15">
        <v>140020</v>
      </c>
      <c r="B105" s="15" t="s">
        <v>263</v>
      </c>
      <c r="C105" s="15" t="s">
        <v>263</v>
      </c>
      <c r="D105" s="16" t="s">
        <v>97</v>
      </c>
      <c r="E105" s="7">
        <v>2426</v>
      </c>
      <c r="F105" s="7">
        <v>-1</v>
      </c>
      <c r="G105" s="7">
        <v>0</v>
      </c>
      <c r="H105" s="7">
        <v>0</v>
      </c>
      <c r="I105" s="15" t="s">
        <v>43</v>
      </c>
      <c r="J105" s="7">
        <v>-1</v>
      </c>
      <c r="K105" s="7">
        <v>0</v>
      </c>
      <c r="L105" s="7">
        <v>0</v>
      </c>
      <c r="N105" s="24">
        <v>1</v>
      </c>
      <c r="O105" s="7">
        <v>1</v>
      </c>
      <c r="Q105" s="7" t="s">
        <v>149</v>
      </c>
      <c r="R105" s="7" t="s">
        <v>149</v>
      </c>
      <c r="S105" s="15">
        <v>17</v>
      </c>
      <c r="T105" s="7" t="str">
        <f t="shared" si="129"/>
        <v>聚魂</v>
      </c>
      <c r="U105" s="7" t="str">
        <f t="shared" ref="U105:Z105" si="146">T105</f>
        <v>聚魂</v>
      </c>
      <c r="V105" s="7" t="str">
        <f t="shared" si="146"/>
        <v>聚魂</v>
      </c>
      <c r="W105" s="7" t="str">
        <f t="shared" si="146"/>
        <v>聚魂</v>
      </c>
      <c r="X105" s="7" t="str">
        <f t="shared" si="146"/>
        <v>聚魂</v>
      </c>
      <c r="Y105" s="7" t="str">
        <f t="shared" si="146"/>
        <v>聚魂</v>
      </c>
      <c r="Z105" s="7" t="str">
        <f t="shared" si="146"/>
        <v>聚魂</v>
      </c>
      <c r="AA105" s="7" t="s">
        <v>81</v>
      </c>
      <c r="AB105" s="7" t="str">
        <f t="shared" ref="AB105:AH105" si="147">AA105</f>
        <v>无</v>
      </c>
      <c r="AC105" s="7" t="str">
        <f t="shared" si="147"/>
        <v>无</v>
      </c>
      <c r="AD105" s="7" t="str">
        <f t="shared" si="147"/>
        <v>无</v>
      </c>
      <c r="AE105" s="7" t="str">
        <f t="shared" si="147"/>
        <v>无</v>
      </c>
      <c r="AF105" s="7" t="str">
        <f t="shared" si="147"/>
        <v>无</v>
      </c>
      <c r="AG105" s="7" t="str">
        <f t="shared" si="147"/>
        <v>无</v>
      </c>
      <c r="AH105" s="7" t="str">
        <f t="shared" si="147"/>
        <v>无</v>
      </c>
      <c r="AI105" s="15">
        <v>1</v>
      </c>
      <c r="AJ105" s="15">
        <v>2</v>
      </c>
      <c r="AK105" s="15">
        <v>3</v>
      </c>
      <c r="AL105" s="15">
        <v>4</v>
      </c>
      <c r="AM105" s="15">
        <v>5</v>
      </c>
      <c r="AN105" s="15">
        <v>6</v>
      </c>
      <c r="AO105" s="15">
        <v>7</v>
      </c>
      <c r="AP105" s="15"/>
    </row>
    <row r="106" s="7" customFormat="1" hidden="1" spans="1:42">
      <c r="A106" s="15">
        <v>140021</v>
      </c>
      <c r="B106" s="15" t="s">
        <v>264</v>
      </c>
      <c r="C106" s="15" t="s">
        <v>264</v>
      </c>
      <c r="D106" s="17" t="s">
        <v>91</v>
      </c>
      <c r="E106" s="7">
        <v>2427</v>
      </c>
      <c r="F106" s="7">
        <v>-1</v>
      </c>
      <c r="G106" s="7">
        <v>0</v>
      </c>
      <c r="H106" s="7">
        <v>0</v>
      </c>
      <c r="I106" s="15" t="s">
        <v>43</v>
      </c>
      <c r="J106" s="7">
        <v>-1</v>
      </c>
      <c r="K106" s="7">
        <v>0</v>
      </c>
      <c r="L106" s="7">
        <v>0</v>
      </c>
      <c r="N106" s="24">
        <v>1</v>
      </c>
      <c r="O106" s="7">
        <v>1</v>
      </c>
      <c r="Q106" s="7" t="s">
        <v>149</v>
      </c>
      <c r="R106" s="7" t="s">
        <v>149</v>
      </c>
      <c r="S106" s="15">
        <v>18</v>
      </c>
      <c r="T106" s="7" t="str">
        <f t="shared" si="129"/>
        <v>伤魂</v>
      </c>
      <c r="U106" s="7" t="str">
        <f t="shared" ref="U106:Z106" si="148">T106</f>
        <v>伤魂</v>
      </c>
      <c r="V106" s="7" t="str">
        <f t="shared" si="148"/>
        <v>伤魂</v>
      </c>
      <c r="W106" s="7" t="str">
        <f t="shared" si="148"/>
        <v>伤魂</v>
      </c>
      <c r="X106" s="7" t="str">
        <f t="shared" si="148"/>
        <v>伤魂</v>
      </c>
      <c r="Y106" s="7" t="str">
        <f t="shared" si="148"/>
        <v>伤魂</v>
      </c>
      <c r="Z106" s="7" t="str">
        <f t="shared" si="148"/>
        <v>伤魂</v>
      </c>
      <c r="AA106" s="7" t="s">
        <v>81</v>
      </c>
      <c r="AB106" s="7" t="str">
        <f t="shared" ref="AB106:AH106" si="149">AA106</f>
        <v>无</v>
      </c>
      <c r="AC106" s="7" t="str">
        <f t="shared" si="149"/>
        <v>无</v>
      </c>
      <c r="AD106" s="7" t="str">
        <f t="shared" si="149"/>
        <v>无</v>
      </c>
      <c r="AE106" s="7" t="str">
        <f t="shared" si="149"/>
        <v>无</v>
      </c>
      <c r="AF106" s="7" t="str">
        <f t="shared" si="149"/>
        <v>无</v>
      </c>
      <c r="AG106" s="7" t="str">
        <f t="shared" si="149"/>
        <v>无</v>
      </c>
      <c r="AH106" s="7" t="str">
        <f t="shared" si="149"/>
        <v>无</v>
      </c>
      <c r="AI106" s="15">
        <v>1</v>
      </c>
      <c r="AJ106" s="15">
        <v>2</v>
      </c>
      <c r="AK106" s="15">
        <v>3</v>
      </c>
      <c r="AL106" s="15">
        <v>4</v>
      </c>
      <c r="AM106" s="15">
        <v>5</v>
      </c>
      <c r="AN106" s="15">
        <v>6</v>
      </c>
      <c r="AO106" s="15">
        <v>7</v>
      </c>
      <c r="AP106" s="15"/>
    </row>
    <row r="107" s="7" customFormat="1" hidden="1" spans="1:42">
      <c r="A107" s="15">
        <v>140022</v>
      </c>
      <c r="B107" s="15" t="s">
        <v>265</v>
      </c>
      <c r="C107" s="15" t="s">
        <v>265</v>
      </c>
      <c r="D107" s="17" t="s">
        <v>100</v>
      </c>
      <c r="E107" s="7">
        <v>2428</v>
      </c>
      <c r="F107" s="7">
        <v>-1</v>
      </c>
      <c r="G107" s="7">
        <v>0</v>
      </c>
      <c r="H107" s="7">
        <v>0</v>
      </c>
      <c r="I107" s="15" t="s">
        <v>43</v>
      </c>
      <c r="J107" s="7">
        <v>-1</v>
      </c>
      <c r="K107" s="7">
        <v>0</v>
      </c>
      <c r="L107" s="7">
        <v>0</v>
      </c>
      <c r="N107" s="24">
        <v>1</v>
      </c>
      <c r="O107" s="7">
        <v>1</v>
      </c>
      <c r="Q107" s="7" t="s">
        <v>149</v>
      </c>
      <c r="R107" s="7" t="s">
        <v>149</v>
      </c>
      <c r="S107" s="15">
        <v>19</v>
      </c>
      <c r="T107" s="7" t="str">
        <f t="shared" si="129"/>
        <v>幽冥</v>
      </c>
      <c r="U107" s="7" t="str">
        <f t="shared" ref="U107:Z107" si="150">T107</f>
        <v>幽冥</v>
      </c>
      <c r="V107" s="7" t="str">
        <f t="shared" si="150"/>
        <v>幽冥</v>
      </c>
      <c r="W107" s="7" t="str">
        <f t="shared" si="150"/>
        <v>幽冥</v>
      </c>
      <c r="X107" s="7" t="str">
        <f t="shared" si="150"/>
        <v>幽冥</v>
      </c>
      <c r="Y107" s="7" t="str">
        <f t="shared" si="150"/>
        <v>幽冥</v>
      </c>
      <c r="Z107" s="7" t="str">
        <f t="shared" si="150"/>
        <v>幽冥</v>
      </c>
      <c r="AA107" s="7" t="s">
        <v>81</v>
      </c>
      <c r="AB107" s="7" t="str">
        <f t="shared" ref="AB107:AH107" si="151">AA107</f>
        <v>无</v>
      </c>
      <c r="AC107" s="7" t="str">
        <f t="shared" si="151"/>
        <v>无</v>
      </c>
      <c r="AD107" s="7" t="str">
        <f t="shared" si="151"/>
        <v>无</v>
      </c>
      <c r="AE107" s="7" t="str">
        <f t="shared" si="151"/>
        <v>无</v>
      </c>
      <c r="AF107" s="7" t="str">
        <f t="shared" si="151"/>
        <v>无</v>
      </c>
      <c r="AG107" s="7" t="str">
        <f t="shared" si="151"/>
        <v>无</v>
      </c>
      <c r="AH107" s="7" t="str">
        <f t="shared" si="151"/>
        <v>无</v>
      </c>
      <c r="AI107" s="15">
        <v>1</v>
      </c>
      <c r="AJ107" s="15">
        <v>2</v>
      </c>
      <c r="AK107" s="15">
        <v>3</v>
      </c>
      <c r="AL107" s="15">
        <v>4</v>
      </c>
      <c r="AM107" s="15">
        <v>5</v>
      </c>
      <c r="AN107" s="15">
        <v>6</v>
      </c>
      <c r="AO107" s="15">
        <v>7</v>
      </c>
      <c r="AP107" s="15"/>
    </row>
    <row r="108" s="7" customFormat="1" hidden="1" spans="1:42">
      <c r="A108" s="15">
        <v>140023</v>
      </c>
      <c r="B108" s="15" t="s">
        <v>266</v>
      </c>
      <c r="C108" s="15" t="s">
        <v>266</v>
      </c>
      <c r="D108" s="17" t="s">
        <v>91</v>
      </c>
      <c r="E108" s="7">
        <v>2429</v>
      </c>
      <c r="F108" s="7">
        <v>-1</v>
      </c>
      <c r="G108" s="7">
        <v>0</v>
      </c>
      <c r="H108" s="7">
        <v>0</v>
      </c>
      <c r="I108" s="15" t="s">
        <v>43</v>
      </c>
      <c r="J108" s="7">
        <v>-1</v>
      </c>
      <c r="K108" s="7">
        <v>0</v>
      </c>
      <c r="L108" s="7">
        <v>0</v>
      </c>
      <c r="N108" s="24">
        <v>1</v>
      </c>
      <c r="O108" s="7">
        <v>1</v>
      </c>
      <c r="Q108" s="7" t="s">
        <v>149</v>
      </c>
      <c r="R108" s="7" t="s">
        <v>149</v>
      </c>
      <c r="S108" s="15">
        <v>20</v>
      </c>
      <c r="T108" s="7" t="str">
        <f t="shared" si="129"/>
        <v>泉爆</v>
      </c>
      <c r="U108" s="7" t="str">
        <f t="shared" ref="U108:Z108" si="152">T108</f>
        <v>泉爆</v>
      </c>
      <c r="V108" s="7" t="str">
        <f t="shared" si="152"/>
        <v>泉爆</v>
      </c>
      <c r="W108" s="7" t="str">
        <f t="shared" si="152"/>
        <v>泉爆</v>
      </c>
      <c r="X108" s="7" t="str">
        <f t="shared" si="152"/>
        <v>泉爆</v>
      </c>
      <c r="Y108" s="7" t="str">
        <f t="shared" si="152"/>
        <v>泉爆</v>
      </c>
      <c r="Z108" s="7" t="str">
        <f t="shared" si="152"/>
        <v>泉爆</v>
      </c>
      <c r="AA108" s="7" t="s">
        <v>81</v>
      </c>
      <c r="AB108" s="7" t="str">
        <f t="shared" ref="AB108:AH108" si="153">AA108</f>
        <v>无</v>
      </c>
      <c r="AC108" s="7" t="str">
        <f t="shared" si="153"/>
        <v>无</v>
      </c>
      <c r="AD108" s="7" t="str">
        <f t="shared" si="153"/>
        <v>无</v>
      </c>
      <c r="AE108" s="7" t="str">
        <f t="shared" si="153"/>
        <v>无</v>
      </c>
      <c r="AF108" s="7" t="str">
        <f t="shared" si="153"/>
        <v>无</v>
      </c>
      <c r="AG108" s="7" t="str">
        <f t="shared" si="153"/>
        <v>无</v>
      </c>
      <c r="AH108" s="7" t="str">
        <f t="shared" si="153"/>
        <v>无</v>
      </c>
      <c r="AI108" s="15">
        <v>1</v>
      </c>
      <c r="AJ108" s="15">
        <v>2</v>
      </c>
      <c r="AK108" s="15">
        <v>3</v>
      </c>
      <c r="AL108" s="15">
        <v>4</v>
      </c>
      <c r="AM108" s="15">
        <v>5</v>
      </c>
      <c r="AN108" s="15">
        <v>6</v>
      </c>
      <c r="AO108" s="15">
        <v>7</v>
      </c>
      <c r="AP108" s="15"/>
    </row>
    <row r="109" s="7" customFormat="1" hidden="1" spans="1:42">
      <c r="A109" s="15">
        <v>140024</v>
      </c>
      <c r="B109" s="15" t="s">
        <v>267</v>
      </c>
      <c r="C109" s="15" t="s">
        <v>267</v>
      </c>
      <c r="D109" s="17" t="s">
        <v>103</v>
      </c>
      <c r="E109" s="7">
        <v>2430</v>
      </c>
      <c r="F109" s="7">
        <v>-1</v>
      </c>
      <c r="G109" s="7">
        <v>0</v>
      </c>
      <c r="H109" s="7">
        <v>0</v>
      </c>
      <c r="I109" s="15" t="s">
        <v>43</v>
      </c>
      <c r="J109" s="7">
        <v>-1</v>
      </c>
      <c r="K109" s="7">
        <v>0</v>
      </c>
      <c r="L109" s="7">
        <v>0</v>
      </c>
      <c r="N109" s="24">
        <v>1</v>
      </c>
      <c r="O109" s="7">
        <v>1</v>
      </c>
      <c r="Q109" s="7" t="s">
        <v>149</v>
      </c>
      <c r="R109" s="7" t="s">
        <v>149</v>
      </c>
      <c r="S109" s="15">
        <v>21</v>
      </c>
      <c r="T109" s="7" t="str">
        <f t="shared" si="129"/>
        <v>汲魂</v>
      </c>
      <c r="U109" s="7" t="str">
        <f t="shared" ref="U109:Z109" si="154">T109</f>
        <v>汲魂</v>
      </c>
      <c r="V109" s="7" t="str">
        <f t="shared" si="154"/>
        <v>汲魂</v>
      </c>
      <c r="W109" s="7" t="str">
        <f t="shared" si="154"/>
        <v>汲魂</v>
      </c>
      <c r="X109" s="7" t="str">
        <f t="shared" si="154"/>
        <v>汲魂</v>
      </c>
      <c r="Y109" s="7" t="str">
        <f t="shared" si="154"/>
        <v>汲魂</v>
      </c>
      <c r="Z109" s="7" t="str">
        <f t="shared" si="154"/>
        <v>汲魂</v>
      </c>
      <c r="AA109" s="7" t="s">
        <v>81</v>
      </c>
      <c r="AB109" s="7" t="str">
        <f t="shared" ref="AB109:AH109" si="155">AA109</f>
        <v>无</v>
      </c>
      <c r="AC109" s="7" t="str">
        <f t="shared" si="155"/>
        <v>无</v>
      </c>
      <c r="AD109" s="7" t="str">
        <f t="shared" si="155"/>
        <v>无</v>
      </c>
      <c r="AE109" s="7" t="str">
        <f t="shared" si="155"/>
        <v>无</v>
      </c>
      <c r="AF109" s="7" t="str">
        <f t="shared" si="155"/>
        <v>无</v>
      </c>
      <c r="AG109" s="7" t="str">
        <f t="shared" si="155"/>
        <v>无</v>
      </c>
      <c r="AH109" s="7" t="str">
        <f t="shared" si="155"/>
        <v>无</v>
      </c>
      <c r="AI109" s="15">
        <v>1</v>
      </c>
      <c r="AJ109" s="15">
        <v>2</v>
      </c>
      <c r="AK109" s="15">
        <v>3</v>
      </c>
      <c r="AL109" s="15">
        <v>4</v>
      </c>
      <c r="AM109" s="15">
        <v>5</v>
      </c>
      <c r="AN109" s="15">
        <v>6</v>
      </c>
      <c r="AO109" s="15">
        <v>7</v>
      </c>
      <c r="AP109" s="15"/>
    </row>
    <row r="110" s="7" customFormat="1" hidden="1" spans="1:42">
      <c r="A110" s="15">
        <v>140025</v>
      </c>
      <c r="B110" s="15" t="s">
        <v>268</v>
      </c>
      <c r="C110" s="15" t="s">
        <v>268</v>
      </c>
      <c r="D110" s="17" t="s">
        <v>105</v>
      </c>
      <c r="E110" s="7">
        <v>2431</v>
      </c>
      <c r="F110" s="7">
        <v>-1</v>
      </c>
      <c r="G110" s="7">
        <v>0</v>
      </c>
      <c r="H110" s="7">
        <v>0</v>
      </c>
      <c r="I110" s="15" t="s">
        <v>269</v>
      </c>
      <c r="J110" s="7">
        <v>-1</v>
      </c>
      <c r="K110" s="7">
        <v>0</v>
      </c>
      <c r="L110" s="7">
        <v>0</v>
      </c>
      <c r="N110" s="24">
        <v>1</v>
      </c>
      <c r="O110" s="7">
        <v>1</v>
      </c>
      <c r="Q110" s="7" t="s">
        <v>149</v>
      </c>
      <c r="R110" s="7" t="s">
        <v>149</v>
      </c>
      <c r="S110" s="15">
        <v>22</v>
      </c>
      <c r="T110" s="7" t="str">
        <f t="shared" si="129"/>
        <v>魍魉追魂</v>
      </c>
      <c r="U110" s="7" t="str">
        <f t="shared" ref="U110:Z110" si="156">T110</f>
        <v>魍魉追魂</v>
      </c>
      <c r="V110" s="7" t="str">
        <f t="shared" si="156"/>
        <v>魍魉追魂</v>
      </c>
      <c r="W110" s="7" t="str">
        <f t="shared" si="156"/>
        <v>魍魉追魂</v>
      </c>
      <c r="X110" s="7" t="str">
        <f t="shared" si="156"/>
        <v>魍魉追魂</v>
      </c>
      <c r="Y110" s="7" t="str">
        <f t="shared" si="156"/>
        <v>魍魉追魂</v>
      </c>
      <c r="Z110" s="7" t="str">
        <f t="shared" si="156"/>
        <v>魍魉追魂</v>
      </c>
      <c r="AA110" s="7" t="s">
        <v>270</v>
      </c>
      <c r="AB110" s="7" t="str">
        <f t="shared" ref="AB110:AH110" si="157">AA110</f>
        <v>【冷却】4回合</v>
      </c>
      <c r="AC110" s="7" t="str">
        <f t="shared" si="157"/>
        <v>【冷却】4回合</v>
      </c>
      <c r="AD110" s="7" t="str">
        <f t="shared" si="157"/>
        <v>【冷却】4回合</v>
      </c>
      <c r="AE110" s="7" t="str">
        <f t="shared" si="157"/>
        <v>【冷却】4回合</v>
      </c>
      <c r="AF110" s="7" t="str">
        <f t="shared" si="157"/>
        <v>【冷却】4回合</v>
      </c>
      <c r="AG110" s="7" t="str">
        <f t="shared" si="157"/>
        <v>【冷却】4回合</v>
      </c>
      <c r="AH110" s="7" t="str">
        <f t="shared" si="157"/>
        <v>【冷却】4回合</v>
      </c>
      <c r="AI110" s="15">
        <v>1</v>
      </c>
      <c r="AJ110" s="15">
        <v>2</v>
      </c>
      <c r="AK110" s="15">
        <v>3</v>
      </c>
      <c r="AL110" s="15">
        <v>4</v>
      </c>
      <c r="AM110" s="15">
        <v>5</v>
      </c>
      <c r="AN110" s="15">
        <v>6</v>
      </c>
      <c r="AO110" s="15">
        <v>7</v>
      </c>
      <c r="AP110" s="15"/>
    </row>
    <row r="111" s="7" customFormat="1" hidden="1" spans="1:42">
      <c r="A111" s="15">
        <v>140026</v>
      </c>
      <c r="B111" s="15" t="s">
        <v>271</v>
      </c>
      <c r="C111" s="15" t="s">
        <v>271</v>
      </c>
      <c r="D111" s="16" t="s">
        <v>83</v>
      </c>
      <c r="E111" s="7">
        <v>2432</v>
      </c>
      <c r="F111" s="7">
        <v>-1</v>
      </c>
      <c r="G111" s="7">
        <v>0</v>
      </c>
      <c r="H111" s="7">
        <v>0</v>
      </c>
      <c r="I111" s="15" t="s">
        <v>43</v>
      </c>
      <c r="J111" s="7">
        <v>-1</v>
      </c>
      <c r="K111" s="7">
        <v>0</v>
      </c>
      <c r="L111" s="7">
        <v>0</v>
      </c>
      <c r="N111" s="24">
        <v>1</v>
      </c>
      <c r="O111" s="7">
        <v>1</v>
      </c>
      <c r="Q111" s="7" t="s">
        <v>149</v>
      </c>
      <c r="R111" s="7" t="s">
        <v>149</v>
      </c>
      <c r="S111" s="15">
        <v>23</v>
      </c>
      <c r="T111" s="7" t="str">
        <f t="shared" si="129"/>
        <v>夜行</v>
      </c>
      <c r="U111" s="7" t="str">
        <f t="shared" ref="U111:Z111" si="158">T111</f>
        <v>夜行</v>
      </c>
      <c r="V111" s="7" t="str">
        <f t="shared" si="158"/>
        <v>夜行</v>
      </c>
      <c r="W111" s="7" t="str">
        <f t="shared" si="158"/>
        <v>夜行</v>
      </c>
      <c r="X111" s="7" t="str">
        <f t="shared" si="158"/>
        <v>夜行</v>
      </c>
      <c r="Y111" s="7" t="str">
        <f t="shared" si="158"/>
        <v>夜行</v>
      </c>
      <c r="Z111" s="7" t="str">
        <f t="shared" si="158"/>
        <v>夜行</v>
      </c>
      <c r="AA111" s="7" t="s">
        <v>81</v>
      </c>
      <c r="AB111" s="7" t="str">
        <f t="shared" ref="AB111:AH111" si="159">AA111</f>
        <v>无</v>
      </c>
      <c r="AC111" s="7" t="str">
        <f t="shared" si="159"/>
        <v>无</v>
      </c>
      <c r="AD111" s="7" t="str">
        <f t="shared" si="159"/>
        <v>无</v>
      </c>
      <c r="AE111" s="7" t="str">
        <f t="shared" si="159"/>
        <v>无</v>
      </c>
      <c r="AF111" s="7" t="str">
        <f t="shared" si="159"/>
        <v>无</v>
      </c>
      <c r="AG111" s="7" t="str">
        <f t="shared" si="159"/>
        <v>无</v>
      </c>
      <c r="AH111" s="7" t="str">
        <f t="shared" si="159"/>
        <v>无</v>
      </c>
      <c r="AI111" s="15">
        <v>1</v>
      </c>
      <c r="AJ111" s="15">
        <v>2</v>
      </c>
      <c r="AK111" s="15">
        <v>3</v>
      </c>
      <c r="AL111" s="15">
        <v>4</v>
      </c>
      <c r="AM111" s="15">
        <v>5</v>
      </c>
      <c r="AN111" s="15">
        <v>6</v>
      </c>
      <c r="AO111" s="15">
        <v>7</v>
      </c>
      <c r="AP111" s="15"/>
    </row>
    <row r="112" s="7" customFormat="1" hidden="1" spans="1:42">
      <c r="A112" s="15">
        <v>140027</v>
      </c>
      <c r="B112" s="15" t="s">
        <v>272</v>
      </c>
      <c r="C112" s="15" t="s">
        <v>272</v>
      </c>
      <c r="D112" s="17" t="s">
        <v>95</v>
      </c>
      <c r="E112" s="7">
        <v>2433</v>
      </c>
      <c r="F112" s="7">
        <v>-1</v>
      </c>
      <c r="G112" s="7">
        <v>0</v>
      </c>
      <c r="H112" s="7">
        <v>0</v>
      </c>
      <c r="I112" s="15" t="s">
        <v>43</v>
      </c>
      <c r="J112" s="7">
        <v>-1</v>
      </c>
      <c r="K112" s="7">
        <v>0</v>
      </c>
      <c r="L112" s="7">
        <v>0</v>
      </c>
      <c r="N112" s="24">
        <v>1</v>
      </c>
      <c r="O112" s="7">
        <v>1</v>
      </c>
      <c r="Q112" s="7" t="s">
        <v>149</v>
      </c>
      <c r="R112" s="7" t="s">
        <v>149</v>
      </c>
      <c r="S112" s="15">
        <v>24</v>
      </c>
      <c r="T112" s="7" t="str">
        <f t="shared" si="129"/>
        <v>拘魄</v>
      </c>
      <c r="U112" s="7" t="str">
        <f t="shared" ref="U112:Z112" si="160">T112</f>
        <v>拘魄</v>
      </c>
      <c r="V112" s="7" t="str">
        <f t="shared" si="160"/>
        <v>拘魄</v>
      </c>
      <c r="W112" s="7" t="str">
        <f t="shared" si="160"/>
        <v>拘魄</v>
      </c>
      <c r="X112" s="7" t="str">
        <f t="shared" si="160"/>
        <v>拘魄</v>
      </c>
      <c r="Y112" s="7" t="str">
        <f t="shared" si="160"/>
        <v>拘魄</v>
      </c>
      <c r="Z112" s="7" t="str">
        <f t="shared" si="160"/>
        <v>拘魄</v>
      </c>
      <c r="AA112" s="7" t="s">
        <v>81</v>
      </c>
      <c r="AB112" s="7" t="str">
        <f t="shared" ref="AB112:AH112" si="161">AA112</f>
        <v>无</v>
      </c>
      <c r="AC112" s="7" t="str">
        <f t="shared" si="161"/>
        <v>无</v>
      </c>
      <c r="AD112" s="7" t="str">
        <f t="shared" si="161"/>
        <v>无</v>
      </c>
      <c r="AE112" s="7" t="str">
        <f t="shared" si="161"/>
        <v>无</v>
      </c>
      <c r="AF112" s="7" t="str">
        <f t="shared" si="161"/>
        <v>无</v>
      </c>
      <c r="AG112" s="7" t="str">
        <f t="shared" si="161"/>
        <v>无</v>
      </c>
      <c r="AH112" s="7" t="str">
        <f t="shared" si="161"/>
        <v>无</v>
      </c>
      <c r="AI112" s="15">
        <v>1</v>
      </c>
      <c r="AJ112" s="15">
        <v>2</v>
      </c>
      <c r="AK112" s="15">
        <v>3</v>
      </c>
      <c r="AL112" s="15">
        <v>4</v>
      </c>
      <c r="AM112" s="15">
        <v>5</v>
      </c>
      <c r="AN112" s="15">
        <v>6</v>
      </c>
      <c r="AO112" s="15">
        <v>7</v>
      </c>
      <c r="AP112" s="15"/>
    </row>
    <row r="113" s="7" customFormat="1" hidden="1" spans="1:42">
      <c r="A113" s="15">
        <v>140028</v>
      </c>
      <c r="B113" s="15" t="s">
        <v>273</v>
      </c>
      <c r="C113" s="15" t="s">
        <v>273</v>
      </c>
      <c r="D113" s="16" t="s">
        <v>97</v>
      </c>
      <c r="E113" s="7">
        <v>2434</v>
      </c>
      <c r="F113" s="7">
        <v>-1</v>
      </c>
      <c r="G113" s="7">
        <v>0</v>
      </c>
      <c r="H113" s="7">
        <v>0</v>
      </c>
      <c r="I113" s="15" t="s">
        <v>43</v>
      </c>
      <c r="J113" s="7">
        <v>-1</v>
      </c>
      <c r="K113" s="7">
        <v>0</v>
      </c>
      <c r="L113" s="7">
        <v>0</v>
      </c>
      <c r="N113" s="24">
        <v>1</v>
      </c>
      <c r="O113" s="7">
        <v>1</v>
      </c>
      <c r="Q113" s="7" t="s">
        <v>149</v>
      </c>
      <c r="R113" s="7" t="s">
        <v>149</v>
      </c>
      <c r="S113" s="15">
        <v>25</v>
      </c>
      <c r="T113" s="7" t="str">
        <f t="shared" si="129"/>
        <v>瘴幕</v>
      </c>
      <c r="U113" s="7" t="str">
        <f t="shared" ref="U113:Z113" si="162">T113</f>
        <v>瘴幕</v>
      </c>
      <c r="V113" s="7" t="str">
        <f t="shared" si="162"/>
        <v>瘴幕</v>
      </c>
      <c r="W113" s="7" t="str">
        <f t="shared" si="162"/>
        <v>瘴幕</v>
      </c>
      <c r="X113" s="7" t="str">
        <f t="shared" si="162"/>
        <v>瘴幕</v>
      </c>
      <c r="Y113" s="7" t="str">
        <f t="shared" si="162"/>
        <v>瘴幕</v>
      </c>
      <c r="Z113" s="7" t="str">
        <f t="shared" si="162"/>
        <v>瘴幕</v>
      </c>
      <c r="AA113" s="7" t="s">
        <v>81</v>
      </c>
      <c r="AB113" s="7" t="str">
        <f t="shared" ref="AB113:AH113" si="163">AA113</f>
        <v>无</v>
      </c>
      <c r="AC113" s="7" t="str">
        <f t="shared" si="163"/>
        <v>无</v>
      </c>
      <c r="AD113" s="7" t="str">
        <f t="shared" si="163"/>
        <v>无</v>
      </c>
      <c r="AE113" s="7" t="str">
        <f t="shared" si="163"/>
        <v>无</v>
      </c>
      <c r="AF113" s="7" t="str">
        <f t="shared" si="163"/>
        <v>无</v>
      </c>
      <c r="AG113" s="7" t="str">
        <f t="shared" si="163"/>
        <v>无</v>
      </c>
      <c r="AH113" s="7" t="str">
        <f t="shared" si="163"/>
        <v>无</v>
      </c>
      <c r="AI113" s="15">
        <v>1</v>
      </c>
      <c r="AJ113" s="15">
        <v>2</v>
      </c>
      <c r="AK113" s="15">
        <v>3</v>
      </c>
      <c r="AL113" s="15">
        <v>4</v>
      </c>
      <c r="AM113" s="15">
        <v>5</v>
      </c>
      <c r="AN113" s="15">
        <v>6</v>
      </c>
      <c r="AO113" s="15">
        <v>7</v>
      </c>
      <c r="AP113" s="15"/>
    </row>
    <row r="114" s="7" customFormat="1" hidden="1" spans="1:42">
      <c r="A114" s="15">
        <v>140029</v>
      </c>
      <c r="B114" s="15" t="s">
        <v>274</v>
      </c>
      <c r="C114" s="15" t="s">
        <v>274</v>
      </c>
      <c r="D114" s="17" t="s">
        <v>89</v>
      </c>
      <c r="E114" s="7">
        <v>2435</v>
      </c>
      <c r="F114" s="7">
        <v>-1</v>
      </c>
      <c r="G114" s="7">
        <v>0</v>
      </c>
      <c r="H114" s="7">
        <v>0</v>
      </c>
      <c r="I114" s="15" t="s">
        <v>43</v>
      </c>
      <c r="J114" s="7">
        <v>-1</v>
      </c>
      <c r="K114" s="7">
        <v>0</v>
      </c>
      <c r="L114" s="7">
        <v>0</v>
      </c>
      <c r="N114" s="24">
        <v>1</v>
      </c>
      <c r="O114" s="7">
        <v>1</v>
      </c>
      <c r="Q114" s="7" t="s">
        <v>149</v>
      </c>
      <c r="R114" s="7" t="s">
        <v>149</v>
      </c>
      <c r="S114" s="15">
        <v>26</v>
      </c>
      <c r="T114" s="7" t="str">
        <f t="shared" si="129"/>
        <v>冥视</v>
      </c>
      <c r="U114" s="7" t="str">
        <f t="shared" ref="U114:Z114" si="164">T114</f>
        <v>冥视</v>
      </c>
      <c r="V114" s="7" t="str">
        <f t="shared" si="164"/>
        <v>冥视</v>
      </c>
      <c r="W114" s="7" t="str">
        <f t="shared" si="164"/>
        <v>冥视</v>
      </c>
      <c r="X114" s="7" t="str">
        <f t="shared" si="164"/>
        <v>冥视</v>
      </c>
      <c r="Y114" s="7" t="str">
        <f t="shared" si="164"/>
        <v>冥视</v>
      </c>
      <c r="Z114" s="7" t="str">
        <f t="shared" si="164"/>
        <v>冥视</v>
      </c>
      <c r="AA114" s="7" t="s">
        <v>81</v>
      </c>
      <c r="AB114" s="7" t="str">
        <f t="shared" ref="AB114:AH114" si="165">AA114</f>
        <v>无</v>
      </c>
      <c r="AC114" s="7" t="str">
        <f t="shared" si="165"/>
        <v>无</v>
      </c>
      <c r="AD114" s="7" t="str">
        <f t="shared" si="165"/>
        <v>无</v>
      </c>
      <c r="AE114" s="7" t="str">
        <f t="shared" si="165"/>
        <v>无</v>
      </c>
      <c r="AF114" s="7" t="str">
        <f t="shared" si="165"/>
        <v>无</v>
      </c>
      <c r="AG114" s="7" t="str">
        <f t="shared" si="165"/>
        <v>无</v>
      </c>
      <c r="AH114" s="7" t="str">
        <f t="shared" si="165"/>
        <v>无</v>
      </c>
      <c r="AI114" s="15">
        <v>1</v>
      </c>
      <c r="AJ114" s="15">
        <v>2</v>
      </c>
      <c r="AK114" s="15">
        <v>3</v>
      </c>
      <c r="AL114" s="15">
        <v>4</v>
      </c>
      <c r="AM114" s="15">
        <v>5</v>
      </c>
      <c r="AN114" s="15">
        <v>6</v>
      </c>
      <c r="AO114" s="15">
        <v>7</v>
      </c>
      <c r="AP114" s="15"/>
    </row>
    <row r="115" s="7" customFormat="1" hidden="1" spans="1:42">
      <c r="A115" s="15">
        <v>140030</v>
      </c>
      <c r="B115" s="15" t="s">
        <v>275</v>
      </c>
      <c r="C115" s="15" t="s">
        <v>275</v>
      </c>
      <c r="D115" s="17" t="s">
        <v>103</v>
      </c>
      <c r="E115" s="7">
        <v>2436</v>
      </c>
      <c r="F115" s="7">
        <v>-1</v>
      </c>
      <c r="G115" s="7">
        <v>0</v>
      </c>
      <c r="H115" s="7">
        <v>0</v>
      </c>
      <c r="I115" s="15" t="s">
        <v>43</v>
      </c>
      <c r="J115" s="7">
        <v>-1</v>
      </c>
      <c r="K115" s="7">
        <v>0</v>
      </c>
      <c r="L115" s="7">
        <v>0</v>
      </c>
      <c r="N115" s="24">
        <v>1</v>
      </c>
      <c r="O115" s="7">
        <v>1</v>
      </c>
      <c r="Q115" s="7" t="s">
        <v>149</v>
      </c>
      <c r="R115" s="7" t="s">
        <v>149</v>
      </c>
      <c r="S115" s="15">
        <v>27</v>
      </c>
      <c r="T115" s="7" t="str">
        <f t="shared" si="129"/>
        <v>鬼火</v>
      </c>
      <c r="U115" s="7" t="str">
        <f t="shared" ref="U115:Z115" si="166">T115</f>
        <v>鬼火</v>
      </c>
      <c r="V115" s="7" t="str">
        <f t="shared" si="166"/>
        <v>鬼火</v>
      </c>
      <c r="W115" s="7" t="str">
        <f t="shared" si="166"/>
        <v>鬼火</v>
      </c>
      <c r="X115" s="7" t="str">
        <f t="shared" si="166"/>
        <v>鬼火</v>
      </c>
      <c r="Y115" s="7" t="str">
        <f t="shared" si="166"/>
        <v>鬼火</v>
      </c>
      <c r="Z115" s="7" t="str">
        <f t="shared" si="166"/>
        <v>鬼火</v>
      </c>
      <c r="AA115" s="7" t="s">
        <v>81</v>
      </c>
      <c r="AB115" s="7" t="str">
        <f t="shared" ref="AB115:AH115" si="167">AA115</f>
        <v>无</v>
      </c>
      <c r="AC115" s="7" t="str">
        <f t="shared" si="167"/>
        <v>无</v>
      </c>
      <c r="AD115" s="7" t="str">
        <f t="shared" si="167"/>
        <v>无</v>
      </c>
      <c r="AE115" s="7" t="str">
        <f t="shared" si="167"/>
        <v>无</v>
      </c>
      <c r="AF115" s="7" t="str">
        <f t="shared" si="167"/>
        <v>无</v>
      </c>
      <c r="AG115" s="7" t="str">
        <f t="shared" si="167"/>
        <v>无</v>
      </c>
      <c r="AH115" s="7" t="str">
        <f t="shared" si="167"/>
        <v>无</v>
      </c>
      <c r="AI115" s="15">
        <v>1</v>
      </c>
      <c r="AJ115" s="15">
        <v>2</v>
      </c>
      <c r="AK115" s="15">
        <v>3</v>
      </c>
      <c r="AL115" s="15">
        <v>4</v>
      </c>
      <c r="AM115" s="15">
        <v>5</v>
      </c>
      <c r="AN115" s="15">
        <v>6</v>
      </c>
      <c r="AO115" s="15">
        <v>7</v>
      </c>
      <c r="AP115" s="15"/>
    </row>
    <row r="116" s="7" customFormat="1" hidden="1" spans="1:42">
      <c r="A116" s="15">
        <v>140031</v>
      </c>
      <c r="B116" s="15" t="s">
        <v>276</v>
      </c>
      <c r="C116" s="15" t="s">
        <v>276</v>
      </c>
      <c r="D116" s="17" t="s">
        <v>95</v>
      </c>
      <c r="E116" s="7">
        <v>2437</v>
      </c>
      <c r="F116" s="7">
        <v>-1</v>
      </c>
      <c r="G116" s="7">
        <v>0</v>
      </c>
      <c r="H116" s="7">
        <v>0</v>
      </c>
      <c r="I116" s="15" t="s">
        <v>43</v>
      </c>
      <c r="J116" s="7">
        <v>-1</v>
      </c>
      <c r="K116" s="7">
        <v>0</v>
      </c>
      <c r="L116" s="7">
        <v>0</v>
      </c>
      <c r="N116" s="24">
        <v>1</v>
      </c>
      <c r="O116" s="7">
        <v>1</v>
      </c>
      <c r="Q116" s="7" t="s">
        <v>149</v>
      </c>
      <c r="R116" s="7" t="s">
        <v>149</v>
      </c>
      <c r="S116" s="15">
        <v>28</v>
      </c>
      <c r="T116" s="7" t="str">
        <f t="shared" si="129"/>
        <v>扼命</v>
      </c>
      <c r="U116" s="7" t="str">
        <f t="shared" ref="U116:Z116" si="168">T116</f>
        <v>扼命</v>
      </c>
      <c r="V116" s="7" t="str">
        <f t="shared" si="168"/>
        <v>扼命</v>
      </c>
      <c r="W116" s="7" t="str">
        <f t="shared" si="168"/>
        <v>扼命</v>
      </c>
      <c r="X116" s="7" t="str">
        <f t="shared" si="168"/>
        <v>扼命</v>
      </c>
      <c r="Y116" s="7" t="str">
        <f t="shared" si="168"/>
        <v>扼命</v>
      </c>
      <c r="Z116" s="7" t="str">
        <f t="shared" si="168"/>
        <v>扼命</v>
      </c>
      <c r="AA116" s="7" t="s">
        <v>81</v>
      </c>
      <c r="AB116" s="7" t="str">
        <f t="shared" ref="AB116:AH116" si="169">AA116</f>
        <v>无</v>
      </c>
      <c r="AC116" s="7" t="str">
        <f t="shared" si="169"/>
        <v>无</v>
      </c>
      <c r="AD116" s="7" t="str">
        <f t="shared" si="169"/>
        <v>无</v>
      </c>
      <c r="AE116" s="7" t="str">
        <f t="shared" si="169"/>
        <v>无</v>
      </c>
      <c r="AF116" s="7" t="str">
        <f t="shared" si="169"/>
        <v>无</v>
      </c>
      <c r="AG116" s="7" t="str">
        <f t="shared" si="169"/>
        <v>无</v>
      </c>
      <c r="AH116" s="7" t="str">
        <f t="shared" si="169"/>
        <v>无</v>
      </c>
      <c r="AI116" s="15">
        <v>1</v>
      </c>
      <c r="AJ116" s="15">
        <v>2</v>
      </c>
      <c r="AK116" s="15">
        <v>3</v>
      </c>
      <c r="AL116" s="15">
        <v>4</v>
      </c>
      <c r="AM116" s="15">
        <v>5</v>
      </c>
      <c r="AN116" s="15">
        <v>6</v>
      </c>
      <c r="AO116" s="15">
        <v>7</v>
      </c>
      <c r="AP116" s="15"/>
    </row>
    <row r="117" s="7" customFormat="1" hidden="1" spans="1:42">
      <c r="A117" s="15">
        <v>140032</v>
      </c>
      <c r="B117" s="15" t="s">
        <v>277</v>
      </c>
      <c r="C117" s="15" t="s">
        <v>277</v>
      </c>
      <c r="D117" s="20" t="s">
        <v>113</v>
      </c>
      <c r="E117" s="7">
        <v>2380</v>
      </c>
      <c r="F117" s="7">
        <v>-1</v>
      </c>
      <c r="G117" s="7">
        <v>0</v>
      </c>
      <c r="H117" s="7">
        <v>0</v>
      </c>
      <c r="I117" s="15" t="s">
        <v>43</v>
      </c>
      <c r="J117" s="7">
        <v>-1</v>
      </c>
      <c r="K117" s="7">
        <v>0</v>
      </c>
      <c r="L117" s="7">
        <v>0</v>
      </c>
      <c r="N117" s="24">
        <v>1</v>
      </c>
      <c r="O117" s="7">
        <v>1</v>
      </c>
      <c r="Q117" s="7" t="s">
        <v>149</v>
      </c>
      <c r="R117" s="7" t="s">
        <v>149</v>
      </c>
      <c r="S117" s="15">
        <v>29</v>
      </c>
      <c r="T117" s="7" t="str">
        <f t="shared" si="129"/>
        <v>勾魂阎罗</v>
      </c>
      <c r="U117" s="7" t="str">
        <f t="shared" ref="U117:Z117" si="170">T117</f>
        <v>勾魂阎罗</v>
      </c>
      <c r="V117" s="7" t="str">
        <f t="shared" si="170"/>
        <v>勾魂阎罗</v>
      </c>
      <c r="W117" s="7" t="str">
        <f t="shared" si="170"/>
        <v>勾魂阎罗</v>
      </c>
      <c r="X117" s="7" t="str">
        <f t="shared" si="170"/>
        <v>勾魂阎罗</v>
      </c>
      <c r="Y117" s="7" t="str">
        <f t="shared" si="170"/>
        <v>勾魂阎罗</v>
      </c>
      <c r="Z117" s="7" t="str">
        <f t="shared" si="170"/>
        <v>勾魂阎罗</v>
      </c>
      <c r="AA117" s="7" t="s">
        <v>81</v>
      </c>
      <c r="AB117" s="7" t="str">
        <f t="shared" ref="AB117:AH117" si="171">AA117</f>
        <v>无</v>
      </c>
      <c r="AC117" s="7" t="str">
        <f t="shared" si="171"/>
        <v>无</v>
      </c>
      <c r="AD117" s="7" t="str">
        <f t="shared" si="171"/>
        <v>无</v>
      </c>
      <c r="AE117" s="7" t="str">
        <f t="shared" si="171"/>
        <v>无</v>
      </c>
      <c r="AF117" s="7" t="str">
        <f t="shared" si="171"/>
        <v>无</v>
      </c>
      <c r="AG117" s="7" t="str">
        <f t="shared" si="171"/>
        <v>无</v>
      </c>
      <c r="AH117" s="7" t="str">
        <f t="shared" si="171"/>
        <v>无</v>
      </c>
      <c r="AI117" s="15">
        <v>1</v>
      </c>
      <c r="AJ117" s="15">
        <v>2</v>
      </c>
      <c r="AK117" s="15">
        <v>3</v>
      </c>
      <c r="AL117" s="15">
        <v>4</v>
      </c>
      <c r="AM117" s="15">
        <v>5</v>
      </c>
      <c r="AN117" s="15">
        <v>6</v>
      </c>
      <c r="AO117" s="15">
        <v>7</v>
      </c>
      <c r="AP117" s="15"/>
    </row>
    <row r="118" s="1" customFormat="1" spans="1:42">
      <c r="A118" s="2">
        <v>150000</v>
      </c>
      <c r="B118" s="3" t="s">
        <v>278</v>
      </c>
      <c r="C118" s="3" t="s">
        <v>278</v>
      </c>
      <c r="D118" s="4" t="s">
        <v>279</v>
      </c>
      <c r="E118" s="1">
        <v>49</v>
      </c>
      <c r="F118" s="1">
        <v>-1</v>
      </c>
      <c r="G118" s="1">
        <v>0</v>
      </c>
      <c r="H118" s="1">
        <v>0</v>
      </c>
      <c r="I118" s="5" t="s">
        <v>43</v>
      </c>
      <c r="J118" s="1">
        <v>-1</v>
      </c>
      <c r="K118" s="1">
        <v>0</v>
      </c>
      <c r="L118" s="1">
        <v>0</v>
      </c>
      <c r="N118" s="6">
        <v>1</v>
      </c>
      <c r="O118" s="1">
        <v>1</v>
      </c>
      <c r="Q118" s="4" t="s">
        <v>280</v>
      </c>
      <c r="R118" s="4" t="s">
        <v>281</v>
      </c>
      <c r="S118" s="5">
        <v>1</v>
      </c>
      <c r="T118" s="4" t="s">
        <v>281</v>
      </c>
      <c r="U118" s="4" t="s">
        <v>281</v>
      </c>
      <c r="V118" s="4" t="s">
        <v>281</v>
      </c>
      <c r="W118" s="4" t="s">
        <v>281</v>
      </c>
      <c r="X118" s="4" t="s">
        <v>281</v>
      </c>
      <c r="Y118" s="4" t="s">
        <v>281</v>
      </c>
      <c r="Z118" s="4" t="s">
        <v>281</v>
      </c>
      <c r="AA118" s="4" t="s">
        <v>282</v>
      </c>
      <c r="AB118" s="4" t="s">
        <v>282</v>
      </c>
      <c r="AC118" s="4" t="s">
        <v>282</v>
      </c>
      <c r="AD118" s="4" t="s">
        <v>282</v>
      </c>
      <c r="AE118" s="4" t="s">
        <v>282</v>
      </c>
      <c r="AF118" s="4" t="s">
        <v>282</v>
      </c>
      <c r="AG118" s="4" t="s">
        <v>282</v>
      </c>
      <c r="AH118" s="4" t="s">
        <v>282</v>
      </c>
      <c r="AI118" s="1">
        <v>1</v>
      </c>
      <c r="AJ118" s="1">
        <v>200</v>
      </c>
      <c r="AK118" s="1">
        <v>200</v>
      </c>
      <c r="AL118" s="1">
        <v>200</v>
      </c>
      <c r="AM118" s="1">
        <v>200</v>
      </c>
      <c r="AN118" s="1">
        <v>200</v>
      </c>
      <c r="AO118" s="1">
        <v>200</v>
      </c>
      <c r="AP118" s="5"/>
    </row>
    <row r="119" s="1" customFormat="1" spans="1:42">
      <c r="A119" s="2">
        <v>150001</v>
      </c>
      <c r="B119" s="3" t="s">
        <v>283</v>
      </c>
      <c r="C119" s="3" t="s">
        <v>283</v>
      </c>
      <c r="D119" s="4" t="s">
        <v>284</v>
      </c>
      <c r="E119" s="1">
        <v>50</v>
      </c>
      <c r="F119" s="1">
        <v>100</v>
      </c>
      <c r="G119" s="1">
        <v>2.4</v>
      </c>
      <c r="H119" s="1">
        <v>10</v>
      </c>
      <c r="I119" s="5" t="s">
        <v>49</v>
      </c>
      <c r="J119" s="1">
        <v>-1</v>
      </c>
      <c r="K119" s="1">
        <v>0</v>
      </c>
      <c r="L119" s="1">
        <v>0</v>
      </c>
      <c r="N119" s="6">
        <v>480</v>
      </c>
      <c r="O119" s="1">
        <v>1</v>
      </c>
      <c r="Q119" s="4" t="s">
        <v>284</v>
      </c>
      <c r="R119" s="4" t="s">
        <v>285</v>
      </c>
      <c r="S119" s="5">
        <v>2</v>
      </c>
      <c r="T119" s="4" t="s">
        <v>286</v>
      </c>
      <c r="U119" s="4" t="s">
        <v>286</v>
      </c>
      <c r="V119" s="4" t="s">
        <v>286</v>
      </c>
      <c r="W119" s="4" t="s">
        <v>286</v>
      </c>
      <c r="X119" s="4" t="s">
        <v>286</v>
      </c>
      <c r="Y119" s="4" t="s">
        <v>286</v>
      </c>
      <c r="Z119" s="4" t="s">
        <v>286</v>
      </c>
      <c r="AA119" s="4" t="s">
        <v>287</v>
      </c>
      <c r="AB119" s="4" t="s">
        <v>288</v>
      </c>
      <c r="AC119" s="4" t="s">
        <v>288</v>
      </c>
      <c r="AD119" s="4" t="s">
        <v>289</v>
      </c>
      <c r="AE119" s="4" t="s">
        <v>289</v>
      </c>
      <c r="AF119" s="4" t="s">
        <v>289</v>
      </c>
      <c r="AG119" s="4" t="s">
        <v>289</v>
      </c>
      <c r="AH119" s="4" t="s">
        <v>289</v>
      </c>
      <c r="AI119" s="1">
        <v>1</v>
      </c>
      <c r="AJ119" s="1">
        <v>60</v>
      </c>
      <c r="AK119" s="1">
        <v>70</v>
      </c>
      <c r="AL119" s="1">
        <v>90</v>
      </c>
      <c r="AM119" s="1">
        <v>200</v>
      </c>
      <c r="AN119" s="1">
        <v>200</v>
      </c>
      <c r="AO119" s="1">
        <v>200</v>
      </c>
      <c r="AP119" s="5"/>
    </row>
    <row r="120" s="1" customFormat="1" spans="1:42">
      <c r="A120" s="2">
        <v>150002</v>
      </c>
      <c r="B120" s="3" t="s">
        <v>290</v>
      </c>
      <c r="C120" s="3" t="s">
        <v>290</v>
      </c>
      <c r="D120" s="4" t="s">
        <v>291</v>
      </c>
      <c r="E120" s="1">
        <v>51</v>
      </c>
      <c r="F120" s="1">
        <v>100</v>
      </c>
      <c r="G120" s="1">
        <v>2.4</v>
      </c>
      <c r="H120" s="1">
        <v>10</v>
      </c>
      <c r="I120" s="5" t="s">
        <v>49</v>
      </c>
      <c r="J120" s="1">
        <v>-1</v>
      </c>
      <c r="K120" s="1">
        <v>0</v>
      </c>
      <c r="L120" s="1">
        <v>0</v>
      </c>
      <c r="N120" s="6">
        <v>480</v>
      </c>
      <c r="O120" s="1">
        <v>1</v>
      </c>
      <c r="Q120" s="4" t="s">
        <v>291</v>
      </c>
      <c r="R120" s="4" t="s">
        <v>292</v>
      </c>
      <c r="S120" s="5">
        <v>3</v>
      </c>
      <c r="T120" s="4" t="s">
        <v>292</v>
      </c>
      <c r="U120" s="4" t="s">
        <v>292</v>
      </c>
      <c r="V120" s="4" t="s">
        <v>292</v>
      </c>
      <c r="W120" s="4" t="s">
        <v>292</v>
      </c>
      <c r="X120" s="4" t="s">
        <v>292</v>
      </c>
      <c r="Y120" s="4" t="s">
        <v>292</v>
      </c>
      <c r="Z120" s="4" t="s">
        <v>292</v>
      </c>
      <c r="AA120" s="4" t="s">
        <v>183</v>
      </c>
      <c r="AB120" s="4" t="s">
        <v>183</v>
      </c>
      <c r="AC120" s="4" t="s">
        <v>183</v>
      </c>
      <c r="AD120" s="4" t="s">
        <v>183</v>
      </c>
      <c r="AE120" s="4" t="s">
        <v>183</v>
      </c>
      <c r="AF120" s="4" t="s">
        <v>183</v>
      </c>
      <c r="AG120" s="4" t="s">
        <v>183</v>
      </c>
      <c r="AH120" s="4" t="s">
        <v>183</v>
      </c>
      <c r="AI120" s="1">
        <v>1</v>
      </c>
      <c r="AJ120" s="1">
        <v>200</v>
      </c>
      <c r="AK120" s="1">
        <v>200</v>
      </c>
      <c r="AL120" s="1">
        <v>200</v>
      </c>
      <c r="AM120" s="1">
        <v>200</v>
      </c>
      <c r="AN120" s="1">
        <v>200</v>
      </c>
      <c r="AO120" s="1">
        <v>200</v>
      </c>
      <c r="AP120" s="5"/>
    </row>
    <row r="121" s="1" customFormat="1" spans="1:42">
      <c r="A121" s="2">
        <v>150003</v>
      </c>
      <c r="B121" s="3" t="s">
        <v>293</v>
      </c>
      <c r="C121" s="3" t="s">
        <v>293</v>
      </c>
      <c r="D121" s="4" t="s">
        <v>294</v>
      </c>
      <c r="E121" s="1">
        <v>52</v>
      </c>
      <c r="F121" s="1">
        <v>100</v>
      </c>
      <c r="G121" s="1">
        <v>2.4</v>
      </c>
      <c r="H121" s="1">
        <v>10</v>
      </c>
      <c r="I121" s="5" t="s">
        <v>49</v>
      </c>
      <c r="J121" s="1">
        <v>-1</v>
      </c>
      <c r="K121" s="1">
        <v>0</v>
      </c>
      <c r="L121" s="1">
        <v>0</v>
      </c>
      <c r="N121" s="6">
        <v>1</v>
      </c>
      <c r="O121" s="1">
        <v>1</v>
      </c>
      <c r="Q121" s="4" t="s">
        <v>294</v>
      </c>
      <c r="R121" s="4" t="s">
        <v>295</v>
      </c>
      <c r="S121" s="5">
        <v>4</v>
      </c>
      <c r="T121" s="4" t="s">
        <v>295</v>
      </c>
      <c r="U121" s="4" t="s">
        <v>295</v>
      </c>
      <c r="V121" s="4" t="s">
        <v>295</v>
      </c>
      <c r="W121" s="4" t="s">
        <v>295</v>
      </c>
      <c r="X121" s="4" t="s">
        <v>295</v>
      </c>
      <c r="Y121" s="4" t="s">
        <v>295</v>
      </c>
      <c r="Z121" s="4" t="s">
        <v>295</v>
      </c>
      <c r="AA121" s="4" t="s">
        <v>187</v>
      </c>
      <c r="AB121" s="4" t="s">
        <v>187</v>
      </c>
      <c r="AC121" s="4" t="s">
        <v>187</v>
      </c>
      <c r="AD121" s="4" t="s">
        <v>187</v>
      </c>
      <c r="AE121" s="4" t="s">
        <v>187</v>
      </c>
      <c r="AF121" s="4" t="s">
        <v>187</v>
      </c>
      <c r="AG121" s="4" t="s">
        <v>187</v>
      </c>
      <c r="AH121" s="4" t="s">
        <v>187</v>
      </c>
      <c r="AI121" s="1">
        <v>1</v>
      </c>
      <c r="AJ121" s="1">
        <v>60</v>
      </c>
      <c r="AK121" s="1">
        <v>200</v>
      </c>
      <c r="AL121" s="1">
        <v>200</v>
      </c>
      <c r="AM121" s="1">
        <v>200</v>
      </c>
      <c r="AN121" s="1">
        <v>200</v>
      </c>
      <c r="AO121" s="1">
        <v>200</v>
      </c>
      <c r="AP121" s="5"/>
    </row>
    <row r="122" s="1" customFormat="1" spans="1:42">
      <c r="A122" s="2">
        <v>150004</v>
      </c>
      <c r="B122" s="3" t="s">
        <v>296</v>
      </c>
      <c r="C122" s="3" t="s">
        <v>296</v>
      </c>
      <c r="D122" s="4" t="s">
        <v>297</v>
      </c>
      <c r="E122" s="1">
        <v>53</v>
      </c>
      <c r="F122" s="1">
        <v>100</v>
      </c>
      <c r="G122" s="1">
        <v>2.4</v>
      </c>
      <c r="H122" s="1">
        <v>10</v>
      </c>
      <c r="I122" s="5" t="s">
        <v>49</v>
      </c>
      <c r="J122" s="1">
        <v>-1</v>
      </c>
      <c r="K122" s="1">
        <v>0</v>
      </c>
      <c r="L122" s="1">
        <v>0</v>
      </c>
      <c r="N122" s="6">
        <v>480</v>
      </c>
      <c r="O122" s="1">
        <v>1</v>
      </c>
      <c r="Q122" s="4" t="s">
        <v>297</v>
      </c>
      <c r="R122" s="4" t="s">
        <v>298</v>
      </c>
      <c r="S122" s="5">
        <v>5</v>
      </c>
      <c r="T122" s="4" t="s">
        <v>298</v>
      </c>
      <c r="U122" s="4" t="s">
        <v>298</v>
      </c>
      <c r="V122" s="4" t="s">
        <v>298</v>
      </c>
      <c r="W122" s="4" t="s">
        <v>298</v>
      </c>
      <c r="X122" s="4" t="s">
        <v>298</v>
      </c>
      <c r="Y122" s="4" t="s">
        <v>298</v>
      </c>
      <c r="Z122" s="4" t="s">
        <v>298</v>
      </c>
      <c r="AA122" s="4" t="s">
        <v>299</v>
      </c>
      <c r="AB122" s="4" t="s">
        <v>299</v>
      </c>
      <c r="AC122" s="4" t="s">
        <v>299</v>
      </c>
      <c r="AD122" s="4" t="s">
        <v>299</v>
      </c>
      <c r="AE122" s="4" t="s">
        <v>299</v>
      </c>
      <c r="AF122" s="4" t="s">
        <v>299</v>
      </c>
      <c r="AG122" s="4" t="s">
        <v>299</v>
      </c>
      <c r="AH122" s="4" t="s">
        <v>299</v>
      </c>
      <c r="AI122" s="1">
        <v>1</v>
      </c>
      <c r="AJ122" s="1">
        <v>200</v>
      </c>
      <c r="AK122" s="1">
        <v>200</v>
      </c>
      <c r="AL122" s="1">
        <v>200</v>
      </c>
      <c r="AM122" s="1">
        <v>200</v>
      </c>
      <c r="AN122" s="1">
        <v>200</v>
      </c>
      <c r="AO122" s="1">
        <v>200</v>
      </c>
      <c r="AP122" s="5"/>
    </row>
    <row r="123" s="1" customFormat="1" spans="1:42">
      <c r="A123" s="2">
        <v>150005</v>
      </c>
      <c r="B123" s="3" t="s">
        <v>300</v>
      </c>
      <c r="C123" s="3" t="s">
        <v>300</v>
      </c>
      <c r="D123" s="4" t="s">
        <v>301</v>
      </c>
      <c r="E123" s="1">
        <v>54</v>
      </c>
      <c r="F123" s="1">
        <v>100</v>
      </c>
      <c r="G123" s="1">
        <v>2.4</v>
      </c>
      <c r="H123" s="1">
        <v>10</v>
      </c>
      <c r="I123" s="5" t="s">
        <v>49</v>
      </c>
      <c r="J123" s="1">
        <v>-1</v>
      </c>
      <c r="K123" s="1">
        <v>0</v>
      </c>
      <c r="L123" s="1">
        <v>0</v>
      </c>
      <c r="N123" s="6">
        <v>4127</v>
      </c>
      <c r="O123" s="1">
        <v>1</v>
      </c>
      <c r="Q123" s="4" t="s">
        <v>301</v>
      </c>
      <c r="R123" s="4" t="s">
        <v>302</v>
      </c>
      <c r="S123" s="5">
        <v>6</v>
      </c>
      <c r="T123" s="4" t="s">
        <v>302</v>
      </c>
      <c r="U123" s="4" t="s">
        <v>302</v>
      </c>
      <c r="V123" s="4" t="s">
        <v>302</v>
      </c>
      <c r="W123" s="4" t="s">
        <v>302</v>
      </c>
      <c r="X123" s="4" t="s">
        <v>302</v>
      </c>
      <c r="Y123" s="4" t="s">
        <v>302</v>
      </c>
      <c r="Z123" s="4" t="s">
        <v>302</v>
      </c>
      <c r="AA123" s="4" t="s">
        <v>303</v>
      </c>
      <c r="AB123" s="4" t="s">
        <v>303</v>
      </c>
      <c r="AC123" s="4" t="s">
        <v>303</v>
      </c>
      <c r="AD123" s="4" t="s">
        <v>303</v>
      </c>
      <c r="AE123" s="4" t="s">
        <v>303</v>
      </c>
      <c r="AF123" s="4" t="s">
        <v>303</v>
      </c>
      <c r="AG123" s="4" t="s">
        <v>303</v>
      </c>
      <c r="AH123" s="4" t="s">
        <v>303</v>
      </c>
      <c r="AI123" s="1">
        <v>1</v>
      </c>
      <c r="AJ123" s="1">
        <v>200</v>
      </c>
      <c r="AK123" s="1">
        <v>200</v>
      </c>
      <c r="AL123" s="1">
        <v>200</v>
      </c>
      <c r="AM123" s="1">
        <v>200</v>
      </c>
      <c r="AN123" s="1">
        <v>200</v>
      </c>
      <c r="AO123" s="1">
        <v>200</v>
      </c>
      <c r="AP123" s="5"/>
    </row>
    <row r="124" s="1" customFormat="1" spans="1:42">
      <c r="A124" s="2">
        <v>150006</v>
      </c>
      <c r="B124" s="3" t="s">
        <v>304</v>
      </c>
      <c r="C124" s="3" t="s">
        <v>304</v>
      </c>
      <c r="D124" s="4" t="s">
        <v>305</v>
      </c>
      <c r="E124" s="1">
        <v>55</v>
      </c>
      <c r="F124" s="1">
        <v>-1</v>
      </c>
      <c r="G124" s="1">
        <v>0.667</v>
      </c>
      <c r="H124" s="1">
        <v>6</v>
      </c>
      <c r="I124" s="5" t="s">
        <v>71</v>
      </c>
      <c r="J124" s="1">
        <v>-1</v>
      </c>
      <c r="K124" s="1">
        <v>0</v>
      </c>
      <c r="L124" s="1">
        <v>0</v>
      </c>
      <c r="N124" s="6">
        <v>1</v>
      </c>
      <c r="O124" s="1">
        <v>1</v>
      </c>
      <c r="Q124" s="4" t="s">
        <v>305</v>
      </c>
      <c r="R124" s="4" t="s">
        <v>306</v>
      </c>
      <c r="S124" s="5">
        <v>7</v>
      </c>
      <c r="T124" s="4" t="s">
        <v>306</v>
      </c>
      <c r="U124" s="4" t="s">
        <v>306</v>
      </c>
      <c r="V124" s="4" t="s">
        <v>306</v>
      </c>
      <c r="W124" s="4" t="s">
        <v>306</v>
      </c>
      <c r="X124" s="4" t="s">
        <v>306</v>
      </c>
      <c r="Y124" s="4" t="s">
        <v>306</v>
      </c>
      <c r="Z124" s="4" t="s">
        <v>306</v>
      </c>
      <c r="AA124" s="4" t="s">
        <v>307</v>
      </c>
      <c r="AB124" s="4" t="s">
        <v>307</v>
      </c>
      <c r="AC124" s="4" t="s">
        <v>307</v>
      </c>
      <c r="AD124" s="4" t="s">
        <v>307</v>
      </c>
      <c r="AE124" s="4" t="s">
        <v>307</v>
      </c>
      <c r="AF124" s="4" t="s">
        <v>307</v>
      </c>
      <c r="AG124" s="4" t="s">
        <v>307</v>
      </c>
      <c r="AH124" s="4" t="s">
        <v>307</v>
      </c>
      <c r="AI124" s="1">
        <v>1</v>
      </c>
      <c r="AJ124" s="1">
        <v>200</v>
      </c>
      <c r="AK124" s="1">
        <v>200</v>
      </c>
      <c r="AL124" s="1">
        <v>200</v>
      </c>
      <c r="AM124" s="1">
        <v>200</v>
      </c>
      <c r="AN124" s="1">
        <v>200</v>
      </c>
      <c r="AO124" s="1">
        <v>200</v>
      </c>
      <c r="AP124" s="5"/>
    </row>
    <row r="125" s="1" customFormat="1" spans="1:42">
      <c r="A125" s="2">
        <v>150007</v>
      </c>
      <c r="B125" s="3" t="s">
        <v>308</v>
      </c>
      <c r="C125" s="3" t="s">
        <v>308</v>
      </c>
      <c r="D125" s="4" t="s">
        <v>309</v>
      </c>
      <c r="E125" s="1">
        <v>56</v>
      </c>
      <c r="F125" s="1">
        <v>120</v>
      </c>
      <c r="G125" s="1">
        <v>0</v>
      </c>
      <c r="H125" s="1">
        <v>120</v>
      </c>
      <c r="I125" s="5" t="s">
        <v>76</v>
      </c>
      <c r="J125" s="1">
        <v>-1</v>
      </c>
      <c r="K125" s="1">
        <v>0</v>
      </c>
      <c r="L125" s="1">
        <v>0</v>
      </c>
      <c r="N125" s="6">
        <v>480</v>
      </c>
      <c r="O125" s="1">
        <v>1</v>
      </c>
      <c r="Q125" s="4" t="s">
        <v>309</v>
      </c>
      <c r="R125" s="4" t="s">
        <v>310</v>
      </c>
      <c r="S125" s="5">
        <v>8</v>
      </c>
      <c r="T125" s="4" t="s">
        <v>310</v>
      </c>
      <c r="U125" s="4" t="s">
        <v>311</v>
      </c>
      <c r="V125" s="4" t="s">
        <v>311</v>
      </c>
      <c r="W125" s="4" t="s">
        <v>312</v>
      </c>
      <c r="X125" s="4" t="s">
        <v>310</v>
      </c>
      <c r="Y125" s="4" t="s">
        <v>310</v>
      </c>
      <c r="Z125" s="4" t="s">
        <v>310</v>
      </c>
      <c r="AA125" s="4" t="s">
        <v>78</v>
      </c>
      <c r="AB125" s="4" t="s">
        <v>78</v>
      </c>
      <c r="AC125" s="4" t="s">
        <v>78</v>
      </c>
      <c r="AD125" s="4" t="s">
        <v>78</v>
      </c>
      <c r="AE125" s="4" t="s">
        <v>78</v>
      </c>
      <c r="AF125" s="4" t="s">
        <v>78</v>
      </c>
      <c r="AG125" s="4" t="s">
        <v>78</v>
      </c>
      <c r="AH125" s="4" t="s">
        <v>78</v>
      </c>
      <c r="AI125" s="1">
        <v>1</v>
      </c>
      <c r="AJ125" s="1">
        <v>2</v>
      </c>
      <c r="AK125" s="1">
        <v>3</v>
      </c>
      <c r="AL125" s="1">
        <v>4</v>
      </c>
      <c r="AM125" s="1">
        <v>5</v>
      </c>
      <c r="AN125" s="1">
        <v>6</v>
      </c>
      <c r="AO125" s="1">
        <v>7</v>
      </c>
      <c r="AP125" s="5"/>
    </row>
    <row r="126" s="7" customFormat="1" hidden="1" spans="1:42">
      <c r="A126" s="15">
        <v>150012</v>
      </c>
      <c r="B126" s="15" t="s">
        <v>313</v>
      </c>
      <c r="C126" s="15" t="s">
        <v>313</v>
      </c>
      <c r="D126" s="16" t="s">
        <v>80</v>
      </c>
      <c r="E126" s="7">
        <v>2438</v>
      </c>
      <c r="F126" s="7">
        <v>-1</v>
      </c>
      <c r="G126" s="7">
        <v>0</v>
      </c>
      <c r="H126" s="7">
        <v>0</v>
      </c>
      <c r="I126" s="15" t="s">
        <v>43</v>
      </c>
      <c r="J126" s="7">
        <v>-1</v>
      </c>
      <c r="K126" s="7">
        <v>0</v>
      </c>
      <c r="L126" s="7">
        <v>0</v>
      </c>
      <c r="N126" s="24">
        <v>1</v>
      </c>
      <c r="O126" s="7">
        <v>1</v>
      </c>
      <c r="Q126" s="7" t="s">
        <v>149</v>
      </c>
      <c r="R126" s="7" t="s">
        <v>149</v>
      </c>
      <c r="S126" s="15">
        <v>9</v>
      </c>
      <c r="T126" s="7" t="str">
        <f t="shared" ref="T126:T146" si="172">B126</f>
        <v>波涛</v>
      </c>
      <c r="U126" s="7" t="str">
        <f t="shared" ref="U126:Z126" si="173">T126</f>
        <v>波涛</v>
      </c>
      <c r="V126" s="7" t="str">
        <f t="shared" si="173"/>
        <v>波涛</v>
      </c>
      <c r="W126" s="7" t="str">
        <f t="shared" si="173"/>
        <v>波涛</v>
      </c>
      <c r="X126" s="7" t="str">
        <f t="shared" si="173"/>
        <v>波涛</v>
      </c>
      <c r="Y126" s="7" t="str">
        <f t="shared" si="173"/>
        <v>波涛</v>
      </c>
      <c r="Z126" s="7" t="str">
        <f t="shared" si="173"/>
        <v>波涛</v>
      </c>
      <c r="AA126" s="7" t="s">
        <v>81</v>
      </c>
      <c r="AB126" s="7" t="str">
        <f t="shared" ref="AB126:AH126" si="174">AA126</f>
        <v>无</v>
      </c>
      <c r="AC126" s="7" t="str">
        <f t="shared" si="174"/>
        <v>无</v>
      </c>
      <c r="AD126" s="7" t="str">
        <f t="shared" si="174"/>
        <v>无</v>
      </c>
      <c r="AE126" s="7" t="str">
        <f t="shared" si="174"/>
        <v>无</v>
      </c>
      <c r="AF126" s="7" t="str">
        <f t="shared" si="174"/>
        <v>无</v>
      </c>
      <c r="AG126" s="7" t="str">
        <f t="shared" si="174"/>
        <v>无</v>
      </c>
      <c r="AH126" s="7" t="str">
        <f t="shared" si="174"/>
        <v>无</v>
      </c>
      <c r="AI126" s="15">
        <v>1</v>
      </c>
      <c r="AJ126" s="15">
        <v>2</v>
      </c>
      <c r="AK126" s="15">
        <v>3</v>
      </c>
      <c r="AL126" s="15">
        <v>4</v>
      </c>
      <c r="AM126" s="15">
        <v>5</v>
      </c>
      <c r="AN126" s="15">
        <v>6</v>
      </c>
      <c r="AO126" s="15">
        <v>7</v>
      </c>
      <c r="AP126" s="15"/>
    </row>
    <row r="127" s="7" customFormat="1" hidden="1" spans="1:42">
      <c r="A127" s="15">
        <v>150013</v>
      </c>
      <c r="B127" s="15" t="s">
        <v>314</v>
      </c>
      <c r="C127" s="15" t="s">
        <v>314</v>
      </c>
      <c r="D127" s="16" t="s">
        <v>83</v>
      </c>
      <c r="E127" s="7">
        <v>2439</v>
      </c>
      <c r="F127" s="7">
        <v>-1</v>
      </c>
      <c r="G127" s="7">
        <v>0</v>
      </c>
      <c r="H127" s="7">
        <v>0</v>
      </c>
      <c r="I127" s="15" t="s">
        <v>43</v>
      </c>
      <c r="J127" s="7">
        <v>-1</v>
      </c>
      <c r="K127" s="7">
        <v>0</v>
      </c>
      <c r="L127" s="7">
        <v>0</v>
      </c>
      <c r="N127" s="24">
        <v>1</v>
      </c>
      <c r="O127" s="7">
        <v>1</v>
      </c>
      <c r="Q127" s="7" t="s">
        <v>149</v>
      </c>
      <c r="R127" s="7" t="s">
        <v>149</v>
      </c>
      <c r="S127" s="15">
        <v>10</v>
      </c>
      <c r="T127" s="7" t="str">
        <f t="shared" si="172"/>
        <v>叱咤</v>
      </c>
      <c r="U127" s="7" t="str">
        <f t="shared" ref="U127:Z127" si="175">T127</f>
        <v>叱咤</v>
      </c>
      <c r="V127" s="7" t="str">
        <f t="shared" si="175"/>
        <v>叱咤</v>
      </c>
      <c r="W127" s="7" t="str">
        <f t="shared" si="175"/>
        <v>叱咤</v>
      </c>
      <c r="X127" s="7" t="str">
        <f t="shared" si="175"/>
        <v>叱咤</v>
      </c>
      <c r="Y127" s="7" t="str">
        <f t="shared" si="175"/>
        <v>叱咤</v>
      </c>
      <c r="Z127" s="7" t="str">
        <f t="shared" si="175"/>
        <v>叱咤</v>
      </c>
      <c r="AA127" s="7" t="s">
        <v>81</v>
      </c>
      <c r="AB127" s="7" t="str">
        <f t="shared" ref="AB127:AH127" si="176">AA127</f>
        <v>无</v>
      </c>
      <c r="AC127" s="7" t="str">
        <f t="shared" si="176"/>
        <v>无</v>
      </c>
      <c r="AD127" s="7" t="str">
        <f t="shared" si="176"/>
        <v>无</v>
      </c>
      <c r="AE127" s="7" t="str">
        <f t="shared" si="176"/>
        <v>无</v>
      </c>
      <c r="AF127" s="7" t="str">
        <f t="shared" si="176"/>
        <v>无</v>
      </c>
      <c r="AG127" s="7" t="str">
        <f t="shared" si="176"/>
        <v>无</v>
      </c>
      <c r="AH127" s="7" t="str">
        <f t="shared" si="176"/>
        <v>无</v>
      </c>
      <c r="AI127" s="15">
        <v>1</v>
      </c>
      <c r="AJ127" s="15">
        <v>2</v>
      </c>
      <c r="AK127" s="15">
        <v>3</v>
      </c>
      <c r="AL127" s="15">
        <v>4</v>
      </c>
      <c r="AM127" s="15">
        <v>5</v>
      </c>
      <c r="AN127" s="15">
        <v>6</v>
      </c>
      <c r="AO127" s="15">
        <v>7</v>
      </c>
      <c r="AP127" s="15"/>
    </row>
    <row r="128" s="7" customFormat="1" hidden="1" spans="1:42">
      <c r="A128" s="15">
        <v>150014</v>
      </c>
      <c r="B128" s="15" t="s">
        <v>315</v>
      </c>
      <c r="C128" s="15" t="s">
        <v>315</v>
      </c>
      <c r="D128" s="17" t="s">
        <v>85</v>
      </c>
      <c r="E128" s="7">
        <v>2440</v>
      </c>
      <c r="F128" s="7">
        <v>-1</v>
      </c>
      <c r="G128" s="7">
        <v>0</v>
      </c>
      <c r="H128" s="7">
        <v>0</v>
      </c>
      <c r="I128" s="15" t="s">
        <v>43</v>
      </c>
      <c r="J128" s="7">
        <v>-1</v>
      </c>
      <c r="K128" s="7">
        <v>0</v>
      </c>
      <c r="L128" s="7">
        <v>0</v>
      </c>
      <c r="N128" s="24">
        <v>1</v>
      </c>
      <c r="O128" s="7">
        <v>1</v>
      </c>
      <c r="Q128" s="7" t="s">
        <v>149</v>
      </c>
      <c r="R128" s="7" t="s">
        <v>149</v>
      </c>
      <c r="S128" s="15">
        <v>11</v>
      </c>
      <c r="T128" s="7" t="str">
        <f t="shared" si="172"/>
        <v>逐浪</v>
      </c>
      <c r="U128" s="7" t="str">
        <f t="shared" ref="U128:Z128" si="177">T128</f>
        <v>逐浪</v>
      </c>
      <c r="V128" s="7" t="str">
        <f t="shared" si="177"/>
        <v>逐浪</v>
      </c>
      <c r="W128" s="7" t="str">
        <f t="shared" si="177"/>
        <v>逐浪</v>
      </c>
      <c r="X128" s="7" t="str">
        <f t="shared" si="177"/>
        <v>逐浪</v>
      </c>
      <c r="Y128" s="7" t="str">
        <f t="shared" si="177"/>
        <v>逐浪</v>
      </c>
      <c r="Z128" s="7" t="str">
        <f t="shared" si="177"/>
        <v>逐浪</v>
      </c>
      <c r="AA128" s="7" t="s">
        <v>81</v>
      </c>
      <c r="AB128" s="7" t="str">
        <f t="shared" ref="AB128:AH128" si="178">AA128</f>
        <v>无</v>
      </c>
      <c r="AC128" s="7" t="str">
        <f t="shared" si="178"/>
        <v>无</v>
      </c>
      <c r="AD128" s="7" t="str">
        <f t="shared" si="178"/>
        <v>无</v>
      </c>
      <c r="AE128" s="7" t="str">
        <f t="shared" si="178"/>
        <v>无</v>
      </c>
      <c r="AF128" s="7" t="str">
        <f t="shared" si="178"/>
        <v>无</v>
      </c>
      <c r="AG128" s="7" t="str">
        <f t="shared" si="178"/>
        <v>无</v>
      </c>
      <c r="AH128" s="7" t="str">
        <f t="shared" si="178"/>
        <v>无</v>
      </c>
      <c r="AI128" s="15">
        <v>1</v>
      </c>
      <c r="AJ128" s="15">
        <v>2</v>
      </c>
      <c r="AK128" s="15">
        <v>3</v>
      </c>
      <c r="AL128" s="15">
        <v>4</v>
      </c>
      <c r="AM128" s="15">
        <v>5</v>
      </c>
      <c r="AN128" s="15">
        <v>6</v>
      </c>
      <c r="AO128" s="15">
        <v>7</v>
      </c>
      <c r="AP128" s="15"/>
    </row>
    <row r="129" s="7" customFormat="1" hidden="1" spans="1:42">
      <c r="A129" s="15">
        <v>150015</v>
      </c>
      <c r="B129" s="15" t="s">
        <v>316</v>
      </c>
      <c r="C129" s="15" t="s">
        <v>316</v>
      </c>
      <c r="D129" s="18" t="s">
        <v>87</v>
      </c>
      <c r="E129" s="7">
        <v>2441</v>
      </c>
      <c r="F129" s="7">
        <v>-1</v>
      </c>
      <c r="G129" s="7">
        <v>0</v>
      </c>
      <c r="H129" s="7">
        <v>0</v>
      </c>
      <c r="I129" s="15" t="s">
        <v>43</v>
      </c>
      <c r="J129" s="7">
        <v>-1</v>
      </c>
      <c r="K129" s="7">
        <v>0</v>
      </c>
      <c r="L129" s="7">
        <v>0</v>
      </c>
      <c r="N129" s="24">
        <v>1</v>
      </c>
      <c r="O129" s="7">
        <v>1</v>
      </c>
      <c r="Q129" s="7" t="s">
        <v>149</v>
      </c>
      <c r="R129" s="7" t="s">
        <v>149</v>
      </c>
      <c r="S129" s="15">
        <v>12</v>
      </c>
      <c r="T129" s="7" t="str">
        <f t="shared" si="172"/>
        <v>龙慑</v>
      </c>
      <c r="U129" s="7" t="str">
        <f t="shared" ref="U129:Z129" si="179">T129</f>
        <v>龙慑</v>
      </c>
      <c r="V129" s="7" t="str">
        <f t="shared" si="179"/>
        <v>龙慑</v>
      </c>
      <c r="W129" s="7" t="str">
        <f t="shared" si="179"/>
        <v>龙慑</v>
      </c>
      <c r="X129" s="7" t="str">
        <f t="shared" si="179"/>
        <v>龙慑</v>
      </c>
      <c r="Y129" s="7" t="str">
        <f t="shared" si="179"/>
        <v>龙慑</v>
      </c>
      <c r="Z129" s="7" t="str">
        <f t="shared" si="179"/>
        <v>龙慑</v>
      </c>
      <c r="AA129" s="7" t="s">
        <v>81</v>
      </c>
      <c r="AB129" s="7" t="str">
        <f t="shared" ref="AB129:AH129" si="180">AA129</f>
        <v>无</v>
      </c>
      <c r="AC129" s="7" t="str">
        <f t="shared" si="180"/>
        <v>无</v>
      </c>
      <c r="AD129" s="7" t="str">
        <f t="shared" si="180"/>
        <v>无</v>
      </c>
      <c r="AE129" s="7" t="str">
        <f t="shared" si="180"/>
        <v>无</v>
      </c>
      <c r="AF129" s="7" t="str">
        <f t="shared" si="180"/>
        <v>无</v>
      </c>
      <c r="AG129" s="7" t="str">
        <f t="shared" si="180"/>
        <v>无</v>
      </c>
      <c r="AH129" s="7" t="str">
        <f t="shared" si="180"/>
        <v>无</v>
      </c>
      <c r="AI129" s="15">
        <v>1</v>
      </c>
      <c r="AJ129" s="15">
        <v>2</v>
      </c>
      <c r="AK129" s="15">
        <v>3</v>
      </c>
      <c r="AL129" s="15">
        <v>4</v>
      </c>
      <c r="AM129" s="15">
        <v>5</v>
      </c>
      <c r="AN129" s="15">
        <v>6</v>
      </c>
      <c r="AO129" s="15">
        <v>7</v>
      </c>
      <c r="AP129" s="15"/>
    </row>
    <row r="130" s="7" customFormat="1" hidden="1" spans="1:42">
      <c r="A130" s="15">
        <v>150016</v>
      </c>
      <c r="B130" s="15" t="s">
        <v>317</v>
      </c>
      <c r="C130" s="15" t="s">
        <v>317</v>
      </c>
      <c r="D130" s="17" t="s">
        <v>89</v>
      </c>
      <c r="E130" s="7">
        <v>2442</v>
      </c>
      <c r="F130" s="7">
        <v>-1</v>
      </c>
      <c r="G130" s="7">
        <v>0</v>
      </c>
      <c r="H130" s="7">
        <v>0</v>
      </c>
      <c r="I130" s="15" t="s">
        <v>43</v>
      </c>
      <c r="J130" s="7">
        <v>-1</v>
      </c>
      <c r="K130" s="7">
        <v>0</v>
      </c>
      <c r="L130" s="7">
        <v>0</v>
      </c>
      <c r="N130" s="24">
        <v>1</v>
      </c>
      <c r="O130" s="7">
        <v>1</v>
      </c>
      <c r="Q130" s="7" t="s">
        <v>149</v>
      </c>
      <c r="R130" s="7" t="s">
        <v>149</v>
      </c>
      <c r="S130" s="15">
        <v>13</v>
      </c>
      <c r="T130" s="7" t="str">
        <f t="shared" si="172"/>
        <v>骇浪</v>
      </c>
      <c r="U130" s="7" t="str">
        <f t="shared" ref="U130:Z130" si="181">T130</f>
        <v>骇浪</v>
      </c>
      <c r="V130" s="7" t="str">
        <f t="shared" si="181"/>
        <v>骇浪</v>
      </c>
      <c r="W130" s="7" t="str">
        <f t="shared" si="181"/>
        <v>骇浪</v>
      </c>
      <c r="X130" s="7" t="str">
        <f t="shared" si="181"/>
        <v>骇浪</v>
      </c>
      <c r="Y130" s="7" t="str">
        <f t="shared" si="181"/>
        <v>骇浪</v>
      </c>
      <c r="Z130" s="7" t="str">
        <f t="shared" si="181"/>
        <v>骇浪</v>
      </c>
      <c r="AA130" s="7" t="s">
        <v>81</v>
      </c>
      <c r="AB130" s="7" t="str">
        <f t="shared" ref="AB130:AH130" si="182">AA130</f>
        <v>无</v>
      </c>
      <c r="AC130" s="7" t="str">
        <f t="shared" si="182"/>
        <v>无</v>
      </c>
      <c r="AD130" s="7" t="str">
        <f t="shared" si="182"/>
        <v>无</v>
      </c>
      <c r="AE130" s="7" t="str">
        <f t="shared" si="182"/>
        <v>无</v>
      </c>
      <c r="AF130" s="7" t="str">
        <f t="shared" si="182"/>
        <v>无</v>
      </c>
      <c r="AG130" s="7" t="str">
        <f t="shared" si="182"/>
        <v>无</v>
      </c>
      <c r="AH130" s="7" t="str">
        <f t="shared" si="182"/>
        <v>无</v>
      </c>
      <c r="AI130" s="15">
        <v>1</v>
      </c>
      <c r="AJ130" s="15">
        <v>2</v>
      </c>
      <c r="AK130" s="15">
        <v>3</v>
      </c>
      <c r="AL130" s="15">
        <v>4</v>
      </c>
      <c r="AM130" s="15">
        <v>5</v>
      </c>
      <c r="AN130" s="15">
        <v>6</v>
      </c>
      <c r="AO130" s="15">
        <v>7</v>
      </c>
      <c r="AP130" s="15"/>
    </row>
    <row r="131" s="7" customFormat="1" hidden="1" spans="1:42">
      <c r="A131" s="15">
        <v>150017</v>
      </c>
      <c r="B131" s="15" t="s">
        <v>318</v>
      </c>
      <c r="C131" s="15" t="s">
        <v>318</v>
      </c>
      <c r="D131" s="17" t="s">
        <v>91</v>
      </c>
      <c r="E131" s="7">
        <v>2443</v>
      </c>
      <c r="F131" s="7">
        <v>-1</v>
      </c>
      <c r="G131" s="7">
        <v>0</v>
      </c>
      <c r="H131" s="7">
        <v>0</v>
      </c>
      <c r="I131" s="15" t="s">
        <v>43</v>
      </c>
      <c r="J131" s="7">
        <v>-1</v>
      </c>
      <c r="K131" s="7">
        <v>0</v>
      </c>
      <c r="L131" s="7">
        <v>0</v>
      </c>
      <c r="N131" s="24">
        <v>1</v>
      </c>
      <c r="O131" s="7">
        <v>1</v>
      </c>
      <c r="Q131" s="7" t="s">
        <v>149</v>
      </c>
      <c r="R131" s="7" t="s">
        <v>149</v>
      </c>
      <c r="S131" s="15">
        <v>14</v>
      </c>
      <c r="T131" s="7" t="str">
        <f t="shared" si="172"/>
        <v>汹涌</v>
      </c>
      <c r="U131" s="7" t="str">
        <f t="shared" ref="U131:Z131" si="183">T131</f>
        <v>汹涌</v>
      </c>
      <c r="V131" s="7" t="str">
        <f t="shared" si="183"/>
        <v>汹涌</v>
      </c>
      <c r="W131" s="7" t="str">
        <f t="shared" si="183"/>
        <v>汹涌</v>
      </c>
      <c r="X131" s="7" t="str">
        <f t="shared" si="183"/>
        <v>汹涌</v>
      </c>
      <c r="Y131" s="7" t="str">
        <f t="shared" si="183"/>
        <v>汹涌</v>
      </c>
      <c r="Z131" s="7" t="str">
        <f t="shared" si="183"/>
        <v>汹涌</v>
      </c>
      <c r="AA131" s="7" t="s">
        <v>81</v>
      </c>
      <c r="AB131" s="7" t="str">
        <f t="shared" ref="AB131:AH131" si="184">AA131</f>
        <v>无</v>
      </c>
      <c r="AC131" s="7" t="str">
        <f t="shared" si="184"/>
        <v>无</v>
      </c>
      <c r="AD131" s="7" t="str">
        <f t="shared" si="184"/>
        <v>无</v>
      </c>
      <c r="AE131" s="7" t="str">
        <f t="shared" si="184"/>
        <v>无</v>
      </c>
      <c r="AF131" s="7" t="str">
        <f t="shared" si="184"/>
        <v>无</v>
      </c>
      <c r="AG131" s="7" t="str">
        <f t="shared" si="184"/>
        <v>无</v>
      </c>
      <c r="AH131" s="7" t="str">
        <f t="shared" si="184"/>
        <v>无</v>
      </c>
      <c r="AI131" s="15">
        <v>1</v>
      </c>
      <c r="AJ131" s="15">
        <v>2</v>
      </c>
      <c r="AK131" s="15">
        <v>3</v>
      </c>
      <c r="AL131" s="15">
        <v>4</v>
      </c>
      <c r="AM131" s="15">
        <v>5</v>
      </c>
      <c r="AN131" s="15">
        <v>6</v>
      </c>
      <c r="AO131" s="15">
        <v>7</v>
      </c>
      <c r="AP131" s="15"/>
    </row>
    <row r="132" s="7" customFormat="1" hidden="1" spans="1:42">
      <c r="A132" s="15">
        <v>150018</v>
      </c>
      <c r="B132" s="15" t="s">
        <v>92</v>
      </c>
      <c r="C132" s="15" t="s">
        <v>92</v>
      </c>
      <c r="D132" s="19" t="s">
        <v>93</v>
      </c>
      <c r="E132" s="7">
        <v>2379</v>
      </c>
      <c r="F132" s="7">
        <v>-1</v>
      </c>
      <c r="G132" s="7">
        <v>0</v>
      </c>
      <c r="H132" s="7">
        <v>0</v>
      </c>
      <c r="I132" s="15" t="s">
        <v>43</v>
      </c>
      <c r="J132" s="7">
        <v>-1</v>
      </c>
      <c r="K132" s="7">
        <v>0</v>
      </c>
      <c r="L132" s="7">
        <v>0</v>
      </c>
      <c r="N132" s="24">
        <v>1</v>
      </c>
      <c r="O132" s="7">
        <v>1</v>
      </c>
      <c r="Q132" s="7" t="s">
        <v>149</v>
      </c>
      <c r="R132" s="7" t="s">
        <v>149</v>
      </c>
      <c r="S132" s="15">
        <v>15</v>
      </c>
      <c r="T132" s="7" t="str">
        <f t="shared" si="172"/>
        <v>额外能力</v>
      </c>
      <c r="U132" s="7" t="str">
        <f t="shared" ref="U132:Z132" si="185">T132</f>
        <v>额外能力</v>
      </c>
      <c r="V132" s="7" t="str">
        <f t="shared" si="185"/>
        <v>额外能力</v>
      </c>
      <c r="W132" s="7" t="str">
        <f t="shared" si="185"/>
        <v>额外能力</v>
      </c>
      <c r="X132" s="7" t="str">
        <f t="shared" si="185"/>
        <v>额外能力</v>
      </c>
      <c r="Y132" s="7" t="str">
        <f t="shared" si="185"/>
        <v>额外能力</v>
      </c>
      <c r="Z132" s="7" t="str">
        <f t="shared" si="185"/>
        <v>额外能力</v>
      </c>
      <c r="AA132" s="7" t="s">
        <v>81</v>
      </c>
      <c r="AB132" s="7" t="str">
        <f t="shared" ref="AB132:AH132" si="186">AA132</f>
        <v>无</v>
      </c>
      <c r="AC132" s="7" t="str">
        <f t="shared" si="186"/>
        <v>无</v>
      </c>
      <c r="AD132" s="7" t="str">
        <f t="shared" si="186"/>
        <v>无</v>
      </c>
      <c r="AE132" s="7" t="str">
        <f t="shared" si="186"/>
        <v>无</v>
      </c>
      <c r="AF132" s="7" t="str">
        <f t="shared" si="186"/>
        <v>无</v>
      </c>
      <c r="AG132" s="7" t="str">
        <f t="shared" si="186"/>
        <v>无</v>
      </c>
      <c r="AH132" s="7" t="str">
        <f t="shared" si="186"/>
        <v>无</v>
      </c>
      <c r="AI132" s="15">
        <v>1</v>
      </c>
      <c r="AJ132" s="15">
        <v>2</v>
      </c>
      <c r="AK132" s="15">
        <v>3</v>
      </c>
      <c r="AL132" s="15">
        <v>4</v>
      </c>
      <c r="AM132" s="15">
        <v>5</v>
      </c>
      <c r="AN132" s="15">
        <v>6</v>
      </c>
      <c r="AO132" s="15">
        <v>7</v>
      </c>
      <c r="AP132" s="15"/>
    </row>
    <row r="133" s="7" customFormat="1" hidden="1" spans="1:42">
      <c r="A133" s="15">
        <v>150019</v>
      </c>
      <c r="B133" s="15" t="s">
        <v>319</v>
      </c>
      <c r="C133" s="15" t="s">
        <v>319</v>
      </c>
      <c r="D133" s="17" t="s">
        <v>95</v>
      </c>
      <c r="E133" s="7">
        <v>2444</v>
      </c>
      <c r="F133" s="7">
        <v>-1</v>
      </c>
      <c r="G133" s="7">
        <v>0</v>
      </c>
      <c r="H133" s="7">
        <v>0</v>
      </c>
      <c r="I133" s="15" t="s">
        <v>43</v>
      </c>
      <c r="J133" s="7">
        <v>-1</v>
      </c>
      <c r="K133" s="7">
        <v>0</v>
      </c>
      <c r="L133" s="7">
        <v>0</v>
      </c>
      <c r="N133" s="24">
        <v>1</v>
      </c>
      <c r="O133" s="7">
        <v>1</v>
      </c>
      <c r="Q133" s="7" t="s">
        <v>149</v>
      </c>
      <c r="R133" s="7" t="s">
        <v>149</v>
      </c>
      <c r="S133" s="15">
        <v>16</v>
      </c>
      <c r="T133" s="7" t="str">
        <f t="shared" si="172"/>
        <v>破浪</v>
      </c>
      <c r="U133" s="7" t="str">
        <f t="shared" ref="U133:Z133" si="187">T133</f>
        <v>破浪</v>
      </c>
      <c r="V133" s="7" t="str">
        <f t="shared" si="187"/>
        <v>破浪</v>
      </c>
      <c r="W133" s="7" t="str">
        <f t="shared" si="187"/>
        <v>破浪</v>
      </c>
      <c r="X133" s="7" t="str">
        <f t="shared" si="187"/>
        <v>破浪</v>
      </c>
      <c r="Y133" s="7" t="str">
        <f t="shared" si="187"/>
        <v>破浪</v>
      </c>
      <c r="Z133" s="7" t="str">
        <f t="shared" si="187"/>
        <v>破浪</v>
      </c>
      <c r="AA133" s="7" t="s">
        <v>81</v>
      </c>
      <c r="AB133" s="7" t="str">
        <f t="shared" ref="AB133:AH133" si="188">AA133</f>
        <v>无</v>
      </c>
      <c r="AC133" s="7" t="str">
        <f t="shared" si="188"/>
        <v>无</v>
      </c>
      <c r="AD133" s="7" t="str">
        <f t="shared" si="188"/>
        <v>无</v>
      </c>
      <c r="AE133" s="7" t="str">
        <f t="shared" si="188"/>
        <v>无</v>
      </c>
      <c r="AF133" s="7" t="str">
        <f t="shared" si="188"/>
        <v>无</v>
      </c>
      <c r="AG133" s="7" t="str">
        <f t="shared" si="188"/>
        <v>无</v>
      </c>
      <c r="AH133" s="7" t="str">
        <f t="shared" si="188"/>
        <v>无</v>
      </c>
      <c r="AI133" s="15">
        <v>1</v>
      </c>
      <c r="AJ133" s="15">
        <v>2</v>
      </c>
      <c r="AK133" s="15">
        <v>3</v>
      </c>
      <c r="AL133" s="15">
        <v>4</v>
      </c>
      <c r="AM133" s="15">
        <v>5</v>
      </c>
      <c r="AN133" s="15">
        <v>6</v>
      </c>
      <c r="AO133" s="15">
        <v>7</v>
      </c>
      <c r="AP133" s="15"/>
    </row>
    <row r="134" s="7" customFormat="1" hidden="1" spans="1:42">
      <c r="A134" s="15">
        <v>150020</v>
      </c>
      <c r="B134" s="15" t="s">
        <v>320</v>
      </c>
      <c r="C134" s="15" t="s">
        <v>320</v>
      </c>
      <c r="D134" s="16" t="s">
        <v>97</v>
      </c>
      <c r="E134" s="7">
        <v>2445</v>
      </c>
      <c r="F134" s="7">
        <v>-1</v>
      </c>
      <c r="G134" s="7">
        <v>0</v>
      </c>
      <c r="H134" s="7">
        <v>0</v>
      </c>
      <c r="I134" s="15" t="s">
        <v>43</v>
      </c>
      <c r="J134" s="7">
        <v>-1</v>
      </c>
      <c r="K134" s="7">
        <v>0</v>
      </c>
      <c r="L134" s="7">
        <v>0</v>
      </c>
      <c r="N134" s="24">
        <v>1</v>
      </c>
      <c r="O134" s="7">
        <v>1</v>
      </c>
      <c r="Q134" s="7" t="s">
        <v>149</v>
      </c>
      <c r="R134" s="7" t="s">
        <v>149</v>
      </c>
      <c r="S134" s="15">
        <v>17</v>
      </c>
      <c r="T134" s="7" t="str">
        <f t="shared" si="172"/>
        <v>踏涛</v>
      </c>
      <c r="U134" s="7" t="str">
        <f t="shared" ref="U134:Z134" si="189">T134</f>
        <v>踏涛</v>
      </c>
      <c r="V134" s="7" t="str">
        <f t="shared" si="189"/>
        <v>踏涛</v>
      </c>
      <c r="W134" s="7" t="str">
        <f t="shared" si="189"/>
        <v>踏涛</v>
      </c>
      <c r="X134" s="7" t="str">
        <f t="shared" si="189"/>
        <v>踏涛</v>
      </c>
      <c r="Y134" s="7" t="str">
        <f t="shared" si="189"/>
        <v>踏涛</v>
      </c>
      <c r="Z134" s="7" t="str">
        <f t="shared" si="189"/>
        <v>踏涛</v>
      </c>
      <c r="AA134" s="7" t="s">
        <v>81</v>
      </c>
      <c r="AB134" s="7" t="str">
        <f t="shared" ref="AB134:AH134" si="190">AA134</f>
        <v>无</v>
      </c>
      <c r="AC134" s="7" t="str">
        <f t="shared" si="190"/>
        <v>无</v>
      </c>
      <c r="AD134" s="7" t="str">
        <f t="shared" si="190"/>
        <v>无</v>
      </c>
      <c r="AE134" s="7" t="str">
        <f t="shared" si="190"/>
        <v>无</v>
      </c>
      <c r="AF134" s="7" t="str">
        <f t="shared" si="190"/>
        <v>无</v>
      </c>
      <c r="AG134" s="7" t="str">
        <f t="shared" si="190"/>
        <v>无</v>
      </c>
      <c r="AH134" s="7" t="str">
        <f t="shared" si="190"/>
        <v>无</v>
      </c>
      <c r="AI134" s="15">
        <v>1</v>
      </c>
      <c r="AJ134" s="15">
        <v>2</v>
      </c>
      <c r="AK134" s="15">
        <v>3</v>
      </c>
      <c r="AL134" s="15">
        <v>4</v>
      </c>
      <c r="AM134" s="15">
        <v>5</v>
      </c>
      <c r="AN134" s="15">
        <v>6</v>
      </c>
      <c r="AO134" s="15">
        <v>7</v>
      </c>
      <c r="AP134" s="15"/>
    </row>
    <row r="135" s="7" customFormat="1" hidden="1" spans="1:42">
      <c r="A135" s="15">
        <v>150021</v>
      </c>
      <c r="B135" s="15" t="s">
        <v>321</v>
      </c>
      <c r="C135" s="15" t="s">
        <v>321</v>
      </c>
      <c r="D135" s="17" t="s">
        <v>91</v>
      </c>
      <c r="E135" s="7">
        <v>2446</v>
      </c>
      <c r="F135" s="7">
        <v>-1</v>
      </c>
      <c r="G135" s="7">
        <v>0</v>
      </c>
      <c r="H135" s="7">
        <v>0</v>
      </c>
      <c r="I135" s="15" t="s">
        <v>43</v>
      </c>
      <c r="J135" s="7">
        <v>-1</v>
      </c>
      <c r="K135" s="7">
        <v>0</v>
      </c>
      <c r="L135" s="7">
        <v>0</v>
      </c>
      <c r="N135" s="24">
        <v>1</v>
      </c>
      <c r="O135" s="7">
        <v>1</v>
      </c>
      <c r="Q135" s="7" t="s">
        <v>149</v>
      </c>
      <c r="R135" s="7" t="s">
        <v>149</v>
      </c>
      <c r="S135" s="15">
        <v>18</v>
      </c>
      <c r="T135" s="7" t="str">
        <f t="shared" si="172"/>
        <v>龙珠</v>
      </c>
      <c r="U135" s="7" t="str">
        <f t="shared" ref="U135:Z135" si="191">T135</f>
        <v>龙珠</v>
      </c>
      <c r="V135" s="7" t="str">
        <f t="shared" si="191"/>
        <v>龙珠</v>
      </c>
      <c r="W135" s="7" t="str">
        <f t="shared" si="191"/>
        <v>龙珠</v>
      </c>
      <c r="X135" s="7" t="str">
        <f t="shared" si="191"/>
        <v>龙珠</v>
      </c>
      <c r="Y135" s="7" t="str">
        <f t="shared" si="191"/>
        <v>龙珠</v>
      </c>
      <c r="Z135" s="7" t="str">
        <f t="shared" si="191"/>
        <v>龙珠</v>
      </c>
      <c r="AA135" s="7" t="s">
        <v>81</v>
      </c>
      <c r="AB135" s="7" t="str">
        <f t="shared" ref="AB135:AH135" si="192">AA135</f>
        <v>无</v>
      </c>
      <c r="AC135" s="7" t="str">
        <f t="shared" si="192"/>
        <v>无</v>
      </c>
      <c r="AD135" s="7" t="str">
        <f t="shared" si="192"/>
        <v>无</v>
      </c>
      <c r="AE135" s="7" t="str">
        <f t="shared" si="192"/>
        <v>无</v>
      </c>
      <c r="AF135" s="7" t="str">
        <f t="shared" si="192"/>
        <v>无</v>
      </c>
      <c r="AG135" s="7" t="str">
        <f t="shared" si="192"/>
        <v>无</v>
      </c>
      <c r="AH135" s="7" t="str">
        <f t="shared" si="192"/>
        <v>无</v>
      </c>
      <c r="AI135" s="15">
        <v>1</v>
      </c>
      <c r="AJ135" s="15">
        <v>2</v>
      </c>
      <c r="AK135" s="15">
        <v>3</v>
      </c>
      <c r="AL135" s="15">
        <v>4</v>
      </c>
      <c r="AM135" s="15">
        <v>5</v>
      </c>
      <c r="AN135" s="15">
        <v>6</v>
      </c>
      <c r="AO135" s="15">
        <v>7</v>
      </c>
      <c r="AP135" s="15"/>
    </row>
    <row r="136" s="7" customFormat="1" hidden="1" spans="1:42">
      <c r="A136" s="15">
        <v>150022</v>
      </c>
      <c r="B136" s="15" t="s">
        <v>322</v>
      </c>
      <c r="C136" s="15" t="s">
        <v>322</v>
      </c>
      <c r="D136" s="17" t="s">
        <v>100</v>
      </c>
      <c r="E136" s="7">
        <v>2447</v>
      </c>
      <c r="F136" s="7">
        <v>-1</v>
      </c>
      <c r="G136" s="7">
        <v>0</v>
      </c>
      <c r="H136" s="7">
        <v>0</v>
      </c>
      <c r="I136" s="15" t="s">
        <v>43</v>
      </c>
      <c r="J136" s="7">
        <v>-1</v>
      </c>
      <c r="K136" s="7">
        <v>0</v>
      </c>
      <c r="L136" s="7">
        <v>0</v>
      </c>
      <c r="N136" s="24">
        <v>1</v>
      </c>
      <c r="O136" s="7">
        <v>1</v>
      </c>
      <c r="Q136" s="7" t="s">
        <v>149</v>
      </c>
      <c r="R136" s="7" t="s">
        <v>149</v>
      </c>
      <c r="S136" s="15">
        <v>19</v>
      </c>
      <c r="T136" s="7" t="str">
        <f t="shared" si="172"/>
        <v>傲翔</v>
      </c>
      <c r="U136" s="7" t="str">
        <f t="shared" ref="U136:Z136" si="193">T136</f>
        <v>傲翔</v>
      </c>
      <c r="V136" s="7" t="str">
        <f t="shared" si="193"/>
        <v>傲翔</v>
      </c>
      <c r="W136" s="7" t="str">
        <f t="shared" si="193"/>
        <v>傲翔</v>
      </c>
      <c r="X136" s="7" t="str">
        <f t="shared" si="193"/>
        <v>傲翔</v>
      </c>
      <c r="Y136" s="7" t="str">
        <f t="shared" si="193"/>
        <v>傲翔</v>
      </c>
      <c r="Z136" s="7" t="str">
        <f t="shared" si="193"/>
        <v>傲翔</v>
      </c>
      <c r="AA136" s="7" t="s">
        <v>81</v>
      </c>
      <c r="AB136" s="7" t="str">
        <f t="shared" ref="AB136:AH136" si="194">AA136</f>
        <v>无</v>
      </c>
      <c r="AC136" s="7" t="str">
        <f t="shared" si="194"/>
        <v>无</v>
      </c>
      <c r="AD136" s="7" t="str">
        <f t="shared" si="194"/>
        <v>无</v>
      </c>
      <c r="AE136" s="7" t="str">
        <f t="shared" si="194"/>
        <v>无</v>
      </c>
      <c r="AF136" s="7" t="str">
        <f t="shared" si="194"/>
        <v>无</v>
      </c>
      <c r="AG136" s="7" t="str">
        <f t="shared" si="194"/>
        <v>无</v>
      </c>
      <c r="AH136" s="7" t="str">
        <f t="shared" si="194"/>
        <v>无</v>
      </c>
      <c r="AI136" s="15">
        <v>1</v>
      </c>
      <c r="AJ136" s="15">
        <v>2</v>
      </c>
      <c r="AK136" s="15">
        <v>3</v>
      </c>
      <c r="AL136" s="15">
        <v>4</v>
      </c>
      <c r="AM136" s="15">
        <v>5</v>
      </c>
      <c r="AN136" s="15">
        <v>6</v>
      </c>
      <c r="AO136" s="15">
        <v>7</v>
      </c>
      <c r="AP136" s="15"/>
    </row>
    <row r="137" s="7" customFormat="1" hidden="1" spans="1:42">
      <c r="A137" s="15">
        <v>150023</v>
      </c>
      <c r="B137" s="15" t="s">
        <v>323</v>
      </c>
      <c r="C137" s="15" t="s">
        <v>323</v>
      </c>
      <c r="D137" s="17" t="s">
        <v>91</v>
      </c>
      <c r="E137" s="7">
        <v>2448</v>
      </c>
      <c r="F137" s="7">
        <v>-1</v>
      </c>
      <c r="G137" s="7">
        <v>0</v>
      </c>
      <c r="H137" s="7">
        <v>0</v>
      </c>
      <c r="I137" s="15" t="s">
        <v>43</v>
      </c>
      <c r="J137" s="7">
        <v>-1</v>
      </c>
      <c r="K137" s="7">
        <v>0</v>
      </c>
      <c r="L137" s="7">
        <v>0</v>
      </c>
      <c r="N137" s="24">
        <v>1</v>
      </c>
      <c r="O137" s="7">
        <v>1</v>
      </c>
      <c r="Q137" s="7" t="s">
        <v>149</v>
      </c>
      <c r="R137" s="7" t="s">
        <v>149</v>
      </c>
      <c r="S137" s="15">
        <v>20</v>
      </c>
      <c r="T137" s="7" t="str">
        <f t="shared" si="172"/>
        <v>月光</v>
      </c>
      <c r="U137" s="7" t="str">
        <f t="shared" ref="U137:Z137" si="195">T137</f>
        <v>月光</v>
      </c>
      <c r="V137" s="7" t="str">
        <f t="shared" si="195"/>
        <v>月光</v>
      </c>
      <c r="W137" s="7" t="str">
        <f t="shared" si="195"/>
        <v>月光</v>
      </c>
      <c r="X137" s="7" t="str">
        <f t="shared" si="195"/>
        <v>月光</v>
      </c>
      <c r="Y137" s="7" t="str">
        <f t="shared" si="195"/>
        <v>月光</v>
      </c>
      <c r="Z137" s="7" t="str">
        <f t="shared" si="195"/>
        <v>月光</v>
      </c>
      <c r="AA137" s="7" t="s">
        <v>81</v>
      </c>
      <c r="AB137" s="7" t="str">
        <f t="shared" ref="AB137:AH137" si="196">AA137</f>
        <v>无</v>
      </c>
      <c r="AC137" s="7" t="str">
        <f t="shared" si="196"/>
        <v>无</v>
      </c>
      <c r="AD137" s="7" t="str">
        <f t="shared" si="196"/>
        <v>无</v>
      </c>
      <c r="AE137" s="7" t="str">
        <f t="shared" si="196"/>
        <v>无</v>
      </c>
      <c r="AF137" s="7" t="str">
        <f t="shared" si="196"/>
        <v>无</v>
      </c>
      <c r="AG137" s="7" t="str">
        <f t="shared" si="196"/>
        <v>无</v>
      </c>
      <c r="AH137" s="7" t="str">
        <f t="shared" si="196"/>
        <v>无</v>
      </c>
      <c r="AI137" s="15">
        <v>1</v>
      </c>
      <c r="AJ137" s="15">
        <v>2</v>
      </c>
      <c r="AK137" s="15">
        <v>3</v>
      </c>
      <c r="AL137" s="15">
        <v>4</v>
      </c>
      <c r="AM137" s="15">
        <v>5</v>
      </c>
      <c r="AN137" s="15">
        <v>6</v>
      </c>
      <c r="AO137" s="15">
        <v>7</v>
      </c>
      <c r="AP137" s="15"/>
    </row>
    <row r="138" s="7" customFormat="1" hidden="1" spans="1:42">
      <c r="A138" s="15">
        <v>150024</v>
      </c>
      <c r="B138" s="15" t="s">
        <v>324</v>
      </c>
      <c r="C138" s="15" t="s">
        <v>324</v>
      </c>
      <c r="D138" s="17" t="s">
        <v>103</v>
      </c>
      <c r="E138" s="7">
        <v>2449</v>
      </c>
      <c r="F138" s="7">
        <v>-1</v>
      </c>
      <c r="G138" s="7">
        <v>0</v>
      </c>
      <c r="H138" s="7">
        <v>0</v>
      </c>
      <c r="I138" s="15" t="s">
        <v>43</v>
      </c>
      <c r="J138" s="7">
        <v>-1</v>
      </c>
      <c r="K138" s="7">
        <v>0</v>
      </c>
      <c r="L138" s="7">
        <v>0</v>
      </c>
      <c r="N138" s="24">
        <v>1</v>
      </c>
      <c r="O138" s="7">
        <v>1</v>
      </c>
      <c r="Q138" s="7" t="s">
        <v>149</v>
      </c>
      <c r="R138" s="7" t="s">
        <v>149</v>
      </c>
      <c r="S138" s="15">
        <v>21</v>
      </c>
      <c r="T138" s="7" t="str">
        <f t="shared" si="172"/>
        <v>龙魄</v>
      </c>
      <c r="U138" s="7" t="str">
        <f t="shared" ref="U138:Z138" si="197">T138</f>
        <v>龙魄</v>
      </c>
      <c r="V138" s="7" t="str">
        <f t="shared" si="197"/>
        <v>龙魄</v>
      </c>
      <c r="W138" s="7" t="str">
        <f t="shared" si="197"/>
        <v>龙魄</v>
      </c>
      <c r="X138" s="7" t="str">
        <f t="shared" si="197"/>
        <v>龙魄</v>
      </c>
      <c r="Y138" s="7" t="str">
        <f t="shared" si="197"/>
        <v>龙魄</v>
      </c>
      <c r="Z138" s="7" t="str">
        <f t="shared" si="197"/>
        <v>龙魄</v>
      </c>
      <c r="AA138" s="7" t="s">
        <v>81</v>
      </c>
      <c r="AB138" s="7" t="str">
        <f t="shared" ref="AB138:AH138" si="198">AA138</f>
        <v>无</v>
      </c>
      <c r="AC138" s="7" t="str">
        <f t="shared" si="198"/>
        <v>无</v>
      </c>
      <c r="AD138" s="7" t="str">
        <f t="shared" si="198"/>
        <v>无</v>
      </c>
      <c r="AE138" s="7" t="str">
        <f t="shared" si="198"/>
        <v>无</v>
      </c>
      <c r="AF138" s="7" t="str">
        <f t="shared" si="198"/>
        <v>无</v>
      </c>
      <c r="AG138" s="7" t="str">
        <f t="shared" si="198"/>
        <v>无</v>
      </c>
      <c r="AH138" s="7" t="str">
        <f t="shared" si="198"/>
        <v>无</v>
      </c>
      <c r="AI138" s="15">
        <v>1</v>
      </c>
      <c r="AJ138" s="15">
        <v>2</v>
      </c>
      <c r="AK138" s="15">
        <v>3</v>
      </c>
      <c r="AL138" s="15">
        <v>4</v>
      </c>
      <c r="AM138" s="15">
        <v>5</v>
      </c>
      <c r="AN138" s="15">
        <v>6</v>
      </c>
      <c r="AO138" s="15">
        <v>7</v>
      </c>
      <c r="AP138" s="15"/>
    </row>
    <row r="139" s="7" customFormat="1" hidden="1" spans="1:42">
      <c r="A139" s="15">
        <v>150025</v>
      </c>
      <c r="B139" s="15" t="s">
        <v>325</v>
      </c>
      <c r="C139" s="15" t="s">
        <v>325</v>
      </c>
      <c r="D139" s="17" t="s">
        <v>105</v>
      </c>
      <c r="E139" s="7">
        <v>2450</v>
      </c>
      <c r="F139" s="7">
        <v>-1</v>
      </c>
      <c r="G139" s="7">
        <v>0</v>
      </c>
      <c r="H139" s="7">
        <v>0</v>
      </c>
      <c r="I139" s="15" t="s">
        <v>326</v>
      </c>
      <c r="J139" s="7">
        <v>-1</v>
      </c>
      <c r="K139" s="7">
        <v>0</v>
      </c>
      <c r="L139" s="7">
        <v>0</v>
      </c>
      <c r="N139" s="24">
        <v>1</v>
      </c>
      <c r="O139" s="7">
        <v>1</v>
      </c>
      <c r="Q139" s="7" t="s">
        <v>149</v>
      </c>
      <c r="R139" s="7" t="s">
        <v>149</v>
      </c>
      <c r="S139" s="15">
        <v>22</v>
      </c>
      <c r="T139" s="7" t="str">
        <f t="shared" si="172"/>
        <v>亢龙归海</v>
      </c>
      <c r="U139" s="7" t="str">
        <f t="shared" ref="U139:Z139" si="199">T139</f>
        <v>亢龙归海</v>
      </c>
      <c r="V139" s="7" t="str">
        <f t="shared" si="199"/>
        <v>亢龙归海</v>
      </c>
      <c r="W139" s="7" t="str">
        <f t="shared" si="199"/>
        <v>亢龙归海</v>
      </c>
      <c r="X139" s="7" t="str">
        <f t="shared" si="199"/>
        <v>亢龙归海</v>
      </c>
      <c r="Y139" s="7" t="str">
        <f t="shared" si="199"/>
        <v>亢龙归海</v>
      </c>
      <c r="Z139" s="7" t="str">
        <f t="shared" si="199"/>
        <v>亢龙归海</v>
      </c>
      <c r="AA139" s="7" t="s">
        <v>327</v>
      </c>
      <c r="AB139" s="7" t="str">
        <f t="shared" ref="AB139:AH139" si="200">AA139</f>
        <v>6回合，战斗开始时具有3回合冷却</v>
      </c>
      <c r="AC139" s="7" t="str">
        <f t="shared" si="200"/>
        <v>6回合，战斗开始时具有3回合冷却</v>
      </c>
      <c r="AD139" s="7" t="str">
        <f t="shared" si="200"/>
        <v>6回合，战斗开始时具有3回合冷却</v>
      </c>
      <c r="AE139" s="7" t="str">
        <f t="shared" si="200"/>
        <v>6回合，战斗开始时具有3回合冷却</v>
      </c>
      <c r="AF139" s="7" t="str">
        <f t="shared" si="200"/>
        <v>6回合，战斗开始时具有3回合冷却</v>
      </c>
      <c r="AG139" s="7" t="str">
        <f t="shared" si="200"/>
        <v>6回合，战斗开始时具有3回合冷却</v>
      </c>
      <c r="AH139" s="7" t="str">
        <f t="shared" si="200"/>
        <v>6回合，战斗开始时具有3回合冷却</v>
      </c>
      <c r="AI139" s="15">
        <v>1</v>
      </c>
      <c r="AJ139" s="15">
        <v>2</v>
      </c>
      <c r="AK139" s="15">
        <v>3</v>
      </c>
      <c r="AL139" s="15">
        <v>4</v>
      </c>
      <c r="AM139" s="15">
        <v>5</v>
      </c>
      <c r="AN139" s="15">
        <v>6</v>
      </c>
      <c r="AO139" s="15">
        <v>7</v>
      </c>
      <c r="AP139" s="15"/>
    </row>
    <row r="140" s="7" customFormat="1" hidden="1" spans="1:42">
      <c r="A140" s="15">
        <v>150026</v>
      </c>
      <c r="B140" s="15" t="s">
        <v>328</v>
      </c>
      <c r="C140" s="15" t="s">
        <v>328</v>
      </c>
      <c r="D140" s="16" t="s">
        <v>83</v>
      </c>
      <c r="E140" s="7">
        <v>2451</v>
      </c>
      <c r="F140" s="7">
        <v>-1</v>
      </c>
      <c r="G140" s="7">
        <v>0</v>
      </c>
      <c r="H140" s="7">
        <v>0</v>
      </c>
      <c r="I140" s="15" t="s">
        <v>43</v>
      </c>
      <c r="J140" s="7">
        <v>-1</v>
      </c>
      <c r="K140" s="7">
        <v>0</v>
      </c>
      <c r="L140" s="7">
        <v>0</v>
      </c>
      <c r="N140" s="24">
        <v>1</v>
      </c>
      <c r="O140" s="7">
        <v>1</v>
      </c>
      <c r="Q140" s="7" t="s">
        <v>149</v>
      </c>
      <c r="R140" s="7" t="s">
        <v>149</v>
      </c>
      <c r="S140" s="15">
        <v>23</v>
      </c>
      <c r="T140" s="7" t="str">
        <f t="shared" si="172"/>
        <v>狂浪</v>
      </c>
      <c r="U140" s="7" t="str">
        <f t="shared" ref="U140:Z140" si="201">T140</f>
        <v>狂浪</v>
      </c>
      <c r="V140" s="7" t="str">
        <f t="shared" si="201"/>
        <v>狂浪</v>
      </c>
      <c r="W140" s="7" t="str">
        <f t="shared" si="201"/>
        <v>狂浪</v>
      </c>
      <c r="X140" s="7" t="str">
        <f t="shared" si="201"/>
        <v>狂浪</v>
      </c>
      <c r="Y140" s="7" t="str">
        <f t="shared" si="201"/>
        <v>狂浪</v>
      </c>
      <c r="Z140" s="7" t="str">
        <f t="shared" si="201"/>
        <v>狂浪</v>
      </c>
      <c r="AA140" s="7" t="s">
        <v>81</v>
      </c>
      <c r="AB140" s="7" t="str">
        <f t="shared" ref="AB140:AH140" si="202">AA140</f>
        <v>无</v>
      </c>
      <c r="AC140" s="7" t="str">
        <f t="shared" si="202"/>
        <v>无</v>
      </c>
      <c r="AD140" s="7" t="str">
        <f t="shared" si="202"/>
        <v>无</v>
      </c>
      <c r="AE140" s="7" t="str">
        <f t="shared" si="202"/>
        <v>无</v>
      </c>
      <c r="AF140" s="7" t="str">
        <f t="shared" si="202"/>
        <v>无</v>
      </c>
      <c r="AG140" s="7" t="str">
        <f t="shared" si="202"/>
        <v>无</v>
      </c>
      <c r="AH140" s="7" t="str">
        <f t="shared" si="202"/>
        <v>无</v>
      </c>
      <c r="AI140" s="15">
        <v>1</v>
      </c>
      <c r="AJ140" s="15">
        <v>2</v>
      </c>
      <c r="AK140" s="15">
        <v>3</v>
      </c>
      <c r="AL140" s="15">
        <v>4</v>
      </c>
      <c r="AM140" s="15">
        <v>5</v>
      </c>
      <c r="AN140" s="15">
        <v>6</v>
      </c>
      <c r="AO140" s="15">
        <v>7</v>
      </c>
      <c r="AP140" s="15"/>
    </row>
    <row r="141" s="7" customFormat="1" hidden="1" spans="1:42">
      <c r="A141" s="15">
        <v>150027</v>
      </c>
      <c r="B141" s="15" t="s">
        <v>329</v>
      </c>
      <c r="C141" s="15" t="s">
        <v>329</v>
      </c>
      <c r="D141" s="17" t="s">
        <v>95</v>
      </c>
      <c r="E141" s="7">
        <v>2452</v>
      </c>
      <c r="F141" s="7">
        <v>-1</v>
      </c>
      <c r="G141" s="7">
        <v>0</v>
      </c>
      <c r="H141" s="7">
        <v>0</v>
      </c>
      <c r="I141" s="15" t="s">
        <v>43</v>
      </c>
      <c r="J141" s="7">
        <v>-1</v>
      </c>
      <c r="K141" s="7">
        <v>0</v>
      </c>
      <c r="L141" s="7">
        <v>0</v>
      </c>
      <c r="N141" s="24">
        <v>1</v>
      </c>
      <c r="O141" s="7">
        <v>1</v>
      </c>
      <c r="Q141" s="7" t="s">
        <v>149</v>
      </c>
      <c r="R141" s="7" t="s">
        <v>149</v>
      </c>
      <c r="S141" s="15">
        <v>24</v>
      </c>
      <c r="T141" s="7" t="str">
        <f t="shared" si="172"/>
        <v>龙哮</v>
      </c>
      <c r="U141" s="7" t="str">
        <f t="shared" ref="U141:Z141" si="203">T141</f>
        <v>龙哮</v>
      </c>
      <c r="V141" s="7" t="str">
        <f t="shared" si="203"/>
        <v>龙哮</v>
      </c>
      <c r="W141" s="7" t="str">
        <f t="shared" si="203"/>
        <v>龙哮</v>
      </c>
      <c r="X141" s="7" t="str">
        <f t="shared" si="203"/>
        <v>龙哮</v>
      </c>
      <c r="Y141" s="7" t="str">
        <f t="shared" si="203"/>
        <v>龙哮</v>
      </c>
      <c r="Z141" s="7" t="str">
        <f t="shared" si="203"/>
        <v>龙哮</v>
      </c>
      <c r="AA141" s="7" t="s">
        <v>81</v>
      </c>
      <c r="AB141" s="7" t="str">
        <f t="shared" ref="AB141:AH141" si="204">AA141</f>
        <v>无</v>
      </c>
      <c r="AC141" s="7" t="str">
        <f t="shared" si="204"/>
        <v>无</v>
      </c>
      <c r="AD141" s="7" t="str">
        <f t="shared" si="204"/>
        <v>无</v>
      </c>
      <c r="AE141" s="7" t="str">
        <f t="shared" si="204"/>
        <v>无</v>
      </c>
      <c r="AF141" s="7" t="str">
        <f t="shared" si="204"/>
        <v>无</v>
      </c>
      <c r="AG141" s="7" t="str">
        <f t="shared" si="204"/>
        <v>无</v>
      </c>
      <c r="AH141" s="7" t="str">
        <f t="shared" si="204"/>
        <v>无</v>
      </c>
      <c r="AI141" s="15">
        <v>1</v>
      </c>
      <c r="AJ141" s="15">
        <v>2</v>
      </c>
      <c r="AK141" s="15">
        <v>3</v>
      </c>
      <c r="AL141" s="15">
        <v>4</v>
      </c>
      <c r="AM141" s="15">
        <v>5</v>
      </c>
      <c r="AN141" s="15">
        <v>6</v>
      </c>
      <c r="AO141" s="15">
        <v>7</v>
      </c>
      <c r="AP141" s="15"/>
    </row>
    <row r="142" s="7" customFormat="1" hidden="1" spans="1:42">
      <c r="A142" s="15">
        <v>150028</v>
      </c>
      <c r="B142" s="15" t="s">
        <v>330</v>
      </c>
      <c r="C142" s="15" t="s">
        <v>330</v>
      </c>
      <c r="D142" s="16" t="s">
        <v>97</v>
      </c>
      <c r="E142" s="7">
        <v>2453</v>
      </c>
      <c r="F142" s="7">
        <v>-1</v>
      </c>
      <c r="G142" s="7">
        <v>0</v>
      </c>
      <c r="H142" s="7">
        <v>0</v>
      </c>
      <c r="I142" s="15" t="s">
        <v>43</v>
      </c>
      <c r="J142" s="7">
        <v>-1</v>
      </c>
      <c r="K142" s="7">
        <v>0</v>
      </c>
      <c r="L142" s="7">
        <v>0</v>
      </c>
      <c r="N142" s="24">
        <v>1</v>
      </c>
      <c r="O142" s="7">
        <v>1</v>
      </c>
      <c r="Q142" s="7" t="s">
        <v>149</v>
      </c>
      <c r="R142" s="7" t="s">
        <v>149</v>
      </c>
      <c r="S142" s="15">
        <v>25</v>
      </c>
      <c r="T142" s="7" t="str">
        <f t="shared" si="172"/>
        <v>龙息</v>
      </c>
      <c r="U142" s="7" t="str">
        <f t="shared" ref="U142:Z142" si="205">T142</f>
        <v>龙息</v>
      </c>
      <c r="V142" s="7" t="str">
        <f t="shared" si="205"/>
        <v>龙息</v>
      </c>
      <c r="W142" s="7" t="str">
        <f t="shared" si="205"/>
        <v>龙息</v>
      </c>
      <c r="X142" s="7" t="str">
        <f t="shared" si="205"/>
        <v>龙息</v>
      </c>
      <c r="Y142" s="7" t="str">
        <f t="shared" si="205"/>
        <v>龙息</v>
      </c>
      <c r="Z142" s="7" t="str">
        <f t="shared" si="205"/>
        <v>龙息</v>
      </c>
      <c r="AA142" s="7" t="s">
        <v>81</v>
      </c>
      <c r="AB142" s="7" t="str">
        <f t="shared" ref="AB142:AH142" si="206">AA142</f>
        <v>无</v>
      </c>
      <c r="AC142" s="7" t="str">
        <f t="shared" si="206"/>
        <v>无</v>
      </c>
      <c r="AD142" s="7" t="str">
        <f t="shared" si="206"/>
        <v>无</v>
      </c>
      <c r="AE142" s="7" t="str">
        <f t="shared" si="206"/>
        <v>无</v>
      </c>
      <c r="AF142" s="7" t="str">
        <f t="shared" si="206"/>
        <v>无</v>
      </c>
      <c r="AG142" s="7" t="str">
        <f t="shared" si="206"/>
        <v>无</v>
      </c>
      <c r="AH142" s="7" t="str">
        <f t="shared" si="206"/>
        <v>无</v>
      </c>
      <c r="AI142" s="15">
        <v>1</v>
      </c>
      <c r="AJ142" s="15">
        <v>2</v>
      </c>
      <c r="AK142" s="15">
        <v>3</v>
      </c>
      <c r="AL142" s="15">
        <v>4</v>
      </c>
      <c r="AM142" s="15">
        <v>5</v>
      </c>
      <c r="AN142" s="15">
        <v>6</v>
      </c>
      <c r="AO142" s="15">
        <v>7</v>
      </c>
      <c r="AP142" s="15"/>
    </row>
    <row r="143" s="7" customFormat="1" hidden="1" spans="1:42">
      <c r="A143" s="15">
        <v>150029</v>
      </c>
      <c r="B143" s="15" t="s">
        <v>331</v>
      </c>
      <c r="C143" s="15" t="s">
        <v>331</v>
      </c>
      <c r="D143" s="17" t="s">
        <v>89</v>
      </c>
      <c r="E143" s="7">
        <v>2454</v>
      </c>
      <c r="F143" s="7">
        <v>-1</v>
      </c>
      <c r="G143" s="7">
        <v>0</v>
      </c>
      <c r="H143" s="7">
        <v>0</v>
      </c>
      <c r="I143" s="15" t="s">
        <v>43</v>
      </c>
      <c r="J143" s="7">
        <v>-1</v>
      </c>
      <c r="K143" s="7">
        <v>0</v>
      </c>
      <c r="L143" s="7">
        <v>0</v>
      </c>
      <c r="N143" s="24">
        <v>1</v>
      </c>
      <c r="O143" s="7">
        <v>1</v>
      </c>
      <c r="Q143" s="7" t="s">
        <v>149</v>
      </c>
      <c r="R143" s="7" t="s">
        <v>149</v>
      </c>
      <c r="S143" s="15">
        <v>26</v>
      </c>
      <c r="T143" s="7" t="str">
        <f t="shared" si="172"/>
        <v>飞龙</v>
      </c>
      <c r="U143" s="7" t="str">
        <f t="shared" ref="U143:Z143" si="207">T143</f>
        <v>飞龙</v>
      </c>
      <c r="V143" s="7" t="str">
        <f t="shared" si="207"/>
        <v>飞龙</v>
      </c>
      <c r="W143" s="7" t="str">
        <f t="shared" si="207"/>
        <v>飞龙</v>
      </c>
      <c r="X143" s="7" t="str">
        <f t="shared" si="207"/>
        <v>飞龙</v>
      </c>
      <c r="Y143" s="7" t="str">
        <f t="shared" si="207"/>
        <v>飞龙</v>
      </c>
      <c r="Z143" s="7" t="str">
        <f t="shared" si="207"/>
        <v>飞龙</v>
      </c>
      <c r="AA143" s="7" t="s">
        <v>81</v>
      </c>
      <c r="AB143" s="7" t="str">
        <f t="shared" ref="AB143:AH143" si="208">AA143</f>
        <v>无</v>
      </c>
      <c r="AC143" s="7" t="str">
        <f t="shared" si="208"/>
        <v>无</v>
      </c>
      <c r="AD143" s="7" t="str">
        <f t="shared" si="208"/>
        <v>无</v>
      </c>
      <c r="AE143" s="7" t="str">
        <f t="shared" si="208"/>
        <v>无</v>
      </c>
      <c r="AF143" s="7" t="str">
        <f t="shared" si="208"/>
        <v>无</v>
      </c>
      <c r="AG143" s="7" t="str">
        <f t="shared" si="208"/>
        <v>无</v>
      </c>
      <c r="AH143" s="7" t="str">
        <f t="shared" si="208"/>
        <v>无</v>
      </c>
      <c r="AI143" s="15">
        <v>1</v>
      </c>
      <c r="AJ143" s="15">
        <v>2</v>
      </c>
      <c r="AK143" s="15">
        <v>3</v>
      </c>
      <c r="AL143" s="15">
        <v>4</v>
      </c>
      <c r="AM143" s="15">
        <v>5</v>
      </c>
      <c r="AN143" s="15">
        <v>6</v>
      </c>
      <c r="AO143" s="15">
        <v>7</v>
      </c>
      <c r="AP143" s="15"/>
    </row>
    <row r="144" s="7" customFormat="1" hidden="1" spans="1:42">
      <c r="A144" s="15">
        <v>150030</v>
      </c>
      <c r="B144" s="15" t="s">
        <v>332</v>
      </c>
      <c r="C144" s="15" t="s">
        <v>332</v>
      </c>
      <c r="D144" s="17" t="s">
        <v>103</v>
      </c>
      <c r="E144" s="7">
        <v>2455</v>
      </c>
      <c r="F144" s="7">
        <v>-1</v>
      </c>
      <c r="G144" s="7">
        <v>0</v>
      </c>
      <c r="H144" s="7">
        <v>0</v>
      </c>
      <c r="I144" s="15" t="s">
        <v>43</v>
      </c>
      <c r="J144" s="7">
        <v>-1</v>
      </c>
      <c r="K144" s="7">
        <v>0</v>
      </c>
      <c r="L144" s="7">
        <v>0</v>
      </c>
      <c r="N144" s="24">
        <v>1</v>
      </c>
      <c r="O144" s="7">
        <v>1</v>
      </c>
      <c r="Q144" s="7" t="s">
        <v>149</v>
      </c>
      <c r="R144" s="7" t="s">
        <v>149</v>
      </c>
      <c r="S144" s="15">
        <v>27</v>
      </c>
      <c r="T144" s="7" t="str">
        <f t="shared" si="172"/>
        <v>戏珠</v>
      </c>
      <c r="U144" s="7" t="str">
        <f t="shared" ref="U144:Z144" si="209">T144</f>
        <v>戏珠</v>
      </c>
      <c r="V144" s="7" t="str">
        <f t="shared" si="209"/>
        <v>戏珠</v>
      </c>
      <c r="W144" s="7" t="str">
        <f t="shared" si="209"/>
        <v>戏珠</v>
      </c>
      <c r="X144" s="7" t="str">
        <f t="shared" si="209"/>
        <v>戏珠</v>
      </c>
      <c r="Y144" s="7" t="str">
        <f t="shared" si="209"/>
        <v>戏珠</v>
      </c>
      <c r="Z144" s="7" t="str">
        <f t="shared" si="209"/>
        <v>戏珠</v>
      </c>
      <c r="AA144" s="7" t="s">
        <v>81</v>
      </c>
      <c r="AB144" s="7" t="str">
        <f t="shared" ref="AB144:AH144" si="210">AA144</f>
        <v>无</v>
      </c>
      <c r="AC144" s="7" t="str">
        <f t="shared" si="210"/>
        <v>无</v>
      </c>
      <c r="AD144" s="7" t="str">
        <f t="shared" si="210"/>
        <v>无</v>
      </c>
      <c r="AE144" s="7" t="str">
        <f t="shared" si="210"/>
        <v>无</v>
      </c>
      <c r="AF144" s="7" t="str">
        <f t="shared" si="210"/>
        <v>无</v>
      </c>
      <c r="AG144" s="7" t="str">
        <f t="shared" si="210"/>
        <v>无</v>
      </c>
      <c r="AH144" s="7" t="str">
        <f t="shared" si="210"/>
        <v>无</v>
      </c>
      <c r="AI144" s="15">
        <v>1</v>
      </c>
      <c r="AJ144" s="15">
        <v>2</v>
      </c>
      <c r="AK144" s="15">
        <v>3</v>
      </c>
      <c r="AL144" s="15">
        <v>4</v>
      </c>
      <c r="AM144" s="15">
        <v>5</v>
      </c>
      <c r="AN144" s="15">
        <v>6</v>
      </c>
      <c r="AO144" s="15">
        <v>7</v>
      </c>
      <c r="AP144" s="15"/>
    </row>
    <row r="145" s="7" customFormat="1" hidden="1" spans="1:42">
      <c r="A145" s="15">
        <v>150031</v>
      </c>
      <c r="B145" s="15" t="s">
        <v>333</v>
      </c>
      <c r="C145" s="15" t="s">
        <v>333</v>
      </c>
      <c r="D145" s="17" t="s">
        <v>95</v>
      </c>
      <c r="E145" s="7">
        <v>2456</v>
      </c>
      <c r="F145" s="7">
        <v>-1</v>
      </c>
      <c r="G145" s="7">
        <v>0</v>
      </c>
      <c r="H145" s="7">
        <v>0</v>
      </c>
      <c r="I145" s="15" t="s">
        <v>43</v>
      </c>
      <c r="J145" s="7">
        <v>-1</v>
      </c>
      <c r="K145" s="7">
        <v>0</v>
      </c>
      <c r="L145" s="7">
        <v>0</v>
      </c>
      <c r="N145" s="24">
        <v>1</v>
      </c>
      <c r="O145" s="7">
        <v>1</v>
      </c>
      <c r="Q145" s="7" t="s">
        <v>149</v>
      </c>
      <c r="R145" s="7" t="s">
        <v>149</v>
      </c>
      <c r="S145" s="15">
        <v>28</v>
      </c>
      <c r="T145" s="7" t="str">
        <f t="shared" si="172"/>
        <v>斩浪</v>
      </c>
      <c r="U145" s="7" t="str">
        <f t="shared" ref="U145:Z145" si="211">T145</f>
        <v>斩浪</v>
      </c>
      <c r="V145" s="7" t="str">
        <f t="shared" si="211"/>
        <v>斩浪</v>
      </c>
      <c r="W145" s="7" t="str">
        <f t="shared" si="211"/>
        <v>斩浪</v>
      </c>
      <c r="X145" s="7" t="str">
        <f t="shared" si="211"/>
        <v>斩浪</v>
      </c>
      <c r="Y145" s="7" t="str">
        <f t="shared" si="211"/>
        <v>斩浪</v>
      </c>
      <c r="Z145" s="7" t="str">
        <f t="shared" si="211"/>
        <v>斩浪</v>
      </c>
      <c r="AA145" s="7" t="s">
        <v>81</v>
      </c>
      <c r="AB145" s="7" t="str">
        <f t="shared" ref="AB145:AH145" si="212">AA145</f>
        <v>无</v>
      </c>
      <c r="AC145" s="7" t="str">
        <f t="shared" si="212"/>
        <v>无</v>
      </c>
      <c r="AD145" s="7" t="str">
        <f t="shared" si="212"/>
        <v>无</v>
      </c>
      <c r="AE145" s="7" t="str">
        <f t="shared" si="212"/>
        <v>无</v>
      </c>
      <c r="AF145" s="7" t="str">
        <f t="shared" si="212"/>
        <v>无</v>
      </c>
      <c r="AG145" s="7" t="str">
        <f t="shared" si="212"/>
        <v>无</v>
      </c>
      <c r="AH145" s="7" t="str">
        <f t="shared" si="212"/>
        <v>无</v>
      </c>
      <c r="AI145" s="15">
        <v>1</v>
      </c>
      <c r="AJ145" s="15">
        <v>2</v>
      </c>
      <c r="AK145" s="15">
        <v>3</v>
      </c>
      <c r="AL145" s="15">
        <v>4</v>
      </c>
      <c r="AM145" s="15">
        <v>5</v>
      </c>
      <c r="AN145" s="15">
        <v>6</v>
      </c>
      <c r="AO145" s="15">
        <v>7</v>
      </c>
      <c r="AP145" s="15"/>
    </row>
    <row r="146" s="7" customFormat="1" hidden="1" spans="1:42">
      <c r="A146" s="15">
        <v>150032</v>
      </c>
      <c r="B146" s="15" t="s">
        <v>334</v>
      </c>
      <c r="C146" s="15" t="s">
        <v>334</v>
      </c>
      <c r="D146" s="20" t="s">
        <v>113</v>
      </c>
      <c r="E146" s="7">
        <v>2380</v>
      </c>
      <c r="F146" s="7">
        <v>-1</v>
      </c>
      <c r="G146" s="7">
        <v>0</v>
      </c>
      <c r="H146" s="7">
        <v>0</v>
      </c>
      <c r="I146" s="15" t="s">
        <v>43</v>
      </c>
      <c r="J146" s="7">
        <v>-1</v>
      </c>
      <c r="K146" s="7">
        <v>0</v>
      </c>
      <c r="L146" s="7">
        <v>0</v>
      </c>
      <c r="N146" s="24">
        <v>1</v>
      </c>
      <c r="O146" s="7">
        <v>1</v>
      </c>
      <c r="Q146" s="7" t="s">
        <v>149</v>
      </c>
      <c r="R146" s="7" t="s">
        <v>149</v>
      </c>
      <c r="S146" s="15">
        <v>29</v>
      </c>
      <c r="T146" s="7" t="str">
        <f t="shared" si="172"/>
        <v>海中蛟虬</v>
      </c>
      <c r="U146" s="7" t="str">
        <f t="shared" ref="U146:Z146" si="213">T146</f>
        <v>海中蛟虬</v>
      </c>
      <c r="V146" s="7" t="str">
        <f t="shared" si="213"/>
        <v>海中蛟虬</v>
      </c>
      <c r="W146" s="7" t="str">
        <f t="shared" si="213"/>
        <v>海中蛟虬</v>
      </c>
      <c r="X146" s="7" t="str">
        <f t="shared" si="213"/>
        <v>海中蛟虬</v>
      </c>
      <c r="Y146" s="7" t="str">
        <f t="shared" si="213"/>
        <v>海中蛟虬</v>
      </c>
      <c r="Z146" s="7" t="str">
        <f t="shared" si="213"/>
        <v>海中蛟虬</v>
      </c>
      <c r="AA146" s="7" t="s">
        <v>81</v>
      </c>
      <c r="AB146" s="7" t="str">
        <f t="shared" ref="AB146:AH146" si="214">AA146</f>
        <v>无</v>
      </c>
      <c r="AC146" s="7" t="str">
        <f t="shared" si="214"/>
        <v>无</v>
      </c>
      <c r="AD146" s="7" t="str">
        <f t="shared" si="214"/>
        <v>无</v>
      </c>
      <c r="AE146" s="7" t="str">
        <f t="shared" si="214"/>
        <v>无</v>
      </c>
      <c r="AF146" s="7" t="str">
        <f t="shared" si="214"/>
        <v>无</v>
      </c>
      <c r="AG146" s="7" t="str">
        <f t="shared" si="214"/>
        <v>无</v>
      </c>
      <c r="AH146" s="7" t="str">
        <f t="shared" si="214"/>
        <v>无</v>
      </c>
      <c r="AI146" s="15">
        <v>1</v>
      </c>
      <c r="AJ146" s="15">
        <v>2</v>
      </c>
      <c r="AK146" s="15">
        <v>3</v>
      </c>
      <c r="AL146" s="15">
        <v>4</v>
      </c>
      <c r="AM146" s="15">
        <v>5</v>
      </c>
      <c r="AN146" s="15">
        <v>6</v>
      </c>
      <c r="AO146" s="15">
        <v>7</v>
      </c>
      <c r="AP146" s="15"/>
    </row>
    <row r="147" s="8" customFormat="1" spans="1:42">
      <c r="A147" s="21">
        <v>160000</v>
      </c>
      <c r="B147" s="22" t="s">
        <v>335</v>
      </c>
      <c r="C147" s="22" t="s">
        <v>335</v>
      </c>
      <c r="D147" s="23" t="s">
        <v>336</v>
      </c>
      <c r="E147" s="8">
        <v>57</v>
      </c>
      <c r="F147" s="8">
        <v>-1</v>
      </c>
      <c r="G147" s="8">
        <v>0</v>
      </c>
      <c r="H147" s="8">
        <v>0</v>
      </c>
      <c r="I147" s="25" t="s">
        <v>43</v>
      </c>
      <c r="J147" s="8">
        <v>-1</v>
      </c>
      <c r="K147" s="8">
        <v>0</v>
      </c>
      <c r="L147" s="8">
        <v>0</v>
      </c>
      <c r="N147" s="26">
        <v>1</v>
      </c>
      <c r="O147" s="8">
        <v>1</v>
      </c>
      <c r="Q147" s="23" t="s">
        <v>336</v>
      </c>
      <c r="R147" s="23" t="s">
        <v>337</v>
      </c>
      <c r="S147" s="25">
        <v>1</v>
      </c>
      <c r="T147" s="23" t="s">
        <v>337</v>
      </c>
      <c r="U147" s="23" t="s">
        <v>337</v>
      </c>
      <c r="V147" s="23" t="s">
        <v>337</v>
      </c>
      <c r="W147" s="23" t="s">
        <v>337</v>
      </c>
      <c r="X147" s="23" t="s">
        <v>337</v>
      </c>
      <c r="Y147" s="23" t="s">
        <v>337</v>
      </c>
      <c r="Z147" s="23" t="s">
        <v>337</v>
      </c>
      <c r="AA147" s="23" t="s">
        <v>229</v>
      </c>
      <c r="AB147" s="23" t="s">
        <v>229</v>
      </c>
      <c r="AC147" s="23" t="s">
        <v>229</v>
      </c>
      <c r="AD147" s="23" t="s">
        <v>229</v>
      </c>
      <c r="AE147" s="23" t="s">
        <v>229</v>
      </c>
      <c r="AF147" s="23" t="s">
        <v>229</v>
      </c>
      <c r="AG147" s="23" t="s">
        <v>229</v>
      </c>
      <c r="AH147" s="23" t="s">
        <v>229</v>
      </c>
      <c r="AI147" s="8">
        <v>1</v>
      </c>
      <c r="AJ147" s="8">
        <v>200</v>
      </c>
      <c r="AK147" s="8">
        <v>200</v>
      </c>
      <c r="AL147" s="8">
        <v>200</v>
      </c>
      <c r="AM147" s="8">
        <v>200</v>
      </c>
      <c r="AN147" s="8">
        <v>200</v>
      </c>
      <c r="AO147" s="8">
        <v>200</v>
      </c>
      <c r="AP147" s="25"/>
    </row>
    <row r="148" s="8" customFormat="1" spans="1:42">
      <c r="A148" s="21">
        <v>160001</v>
      </c>
      <c r="B148" s="22" t="s">
        <v>338</v>
      </c>
      <c r="C148" s="22" t="s">
        <v>338</v>
      </c>
      <c r="D148" s="23" t="s">
        <v>339</v>
      </c>
      <c r="E148" s="8">
        <v>58</v>
      </c>
      <c r="F148" s="8">
        <v>100</v>
      </c>
      <c r="G148" s="8">
        <v>1.4</v>
      </c>
      <c r="H148" s="8">
        <v>10</v>
      </c>
      <c r="I148" s="25" t="s">
        <v>49</v>
      </c>
      <c r="J148" s="8">
        <v>-1</v>
      </c>
      <c r="K148" s="8">
        <v>0</v>
      </c>
      <c r="L148" s="8">
        <v>0</v>
      </c>
      <c r="N148" s="26">
        <v>480</v>
      </c>
      <c r="O148" s="8">
        <v>1</v>
      </c>
      <c r="Q148" s="23" t="s">
        <v>339</v>
      </c>
      <c r="R148" s="23" t="s">
        <v>340</v>
      </c>
      <c r="S148" s="25">
        <v>2</v>
      </c>
      <c r="T148" s="23" t="s">
        <v>340</v>
      </c>
      <c r="U148" s="23" t="s">
        <v>340</v>
      </c>
      <c r="V148" s="23" t="s">
        <v>340</v>
      </c>
      <c r="W148" s="23" t="s">
        <v>340</v>
      </c>
      <c r="X148" s="23" t="s">
        <v>340</v>
      </c>
      <c r="Y148" s="23" t="s">
        <v>340</v>
      </c>
      <c r="Z148" s="23" t="s">
        <v>340</v>
      </c>
      <c r="AA148" s="4" t="s">
        <v>121</v>
      </c>
      <c r="AB148" s="4" t="s">
        <v>122</v>
      </c>
      <c r="AC148" s="4" t="s">
        <v>122</v>
      </c>
      <c r="AD148" s="4" t="s">
        <v>122</v>
      </c>
      <c r="AE148" s="4" t="s">
        <v>122</v>
      </c>
      <c r="AF148" s="4" t="s">
        <v>122</v>
      </c>
      <c r="AG148" s="4" t="s">
        <v>122</v>
      </c>
      <c r="AH148" s="4" t="s">
        <v>122</v>
      </c>
      <c r="AI148" s="8">
        <v>1</v>
      </c>
      <c r="AJ148" s="8">
        <v>60</v>
      </c>
      <c r="AK148" s="8">
        <v>70</v>
      </c>
      <c r="AL148" s="8">
        <v>90</v>
      </c>
      <c r="AM148" s="8">
        <v>200</v>
      </c>
      <c r="AN148" s="8">
        <v>200</v>
      </c>
      <c r="AO148" s="8">
        <v>200</v>
      </c>
      <c r="AP148" s="25"/>
    </row>
    <row r="149" s="8" customFormat="1" spans="1:42">
      <c r="A149" s="21">
        <v>160002</v>
      </c>
      <c r="B149" s="22" t="s">
        <v>341</v>
      </c>
      <c r="C149" s="22" t="s">
        <v>341</v>
      </c>
      <c r="D149" s="23" t="s">
        <v>342</v>
      </c>
      <c r="E149" s="8">
        <v>59</v>
      </c>
      <c r="F149" s="8">
        <v>100</v>
      </c>
      <c r="G149" s="8">
        <v>1.4</v>
      </c>
      <c r="H149" s="8">
        <v>10</v>
      </c>
      <c r="I149" s="25" t="s">
        <v>49</v>
      </c>
      <c r="J149" s="8">
        <v>-1</v>
      </c>
      <c r="K149" s="8">
        <v>0</v>
      </c>
      <c r="L149" s="8">
        <v>0</v>
      </c>
      <c r="N149" s="26">
        <v>4127</v>
      </c>
      <c r="O149" s="8">
        <v>1</v>
      </c>
      <c r="Q149" s="23" t="s">
        <v>342</v>
      </c>
      <c r="R149" s="23" t="s">
        <v>343</v>
      </c>
      <c r="S149" s="25">
        <v>3</v>
      </c>
      <c r="T149" s="23" t="s">
        <v>343</v>
      </c>
      <c r="U149" s="23" t="s">
        <v>343</v>
      </c>
      <c r="V149" s="23" t="s">
        <v>343</v>
      </c>
      <c r="W149" s="23" t="s">
        <v>343</v>
      </c>
      <c r="X149" s="23" t="s">
        <v>343</v>
      </c>
      <c r="Y149" s="23" t="s">
        <v>343</v>
      </c>
      <c r="Z149" s="23" t="s">
        <v>343</v>
      </c>
      <c r="AA149" s="23" t="s">
        <v>344</v>
      </c>
      <c r="AB149" s="23" t="s">
        <v>344</v>
      </c>
      <c r="AC149" s="23" t="s">
        <v>344</v>
      </c>
      <c r="AD149" s="23" t="s">
        <v>344</v>
      </c>
      <c r="AE149" s="23" t="s">
        <v>344</v>
      </c>
      <c r="AF149" s="23" t="s">
        <v>344</v>
      </c>
      <c r="AG149" s="23" t="s">
        <v>344</v>
      </c>
      <c r="AH149" s="23" t="s">
        <v>344</v>
      </c>
      <c r="AI149" s="8">
        <v>1</v>
      </c>
      <c r="AJ149" s="8">
        <v>200</v>
      </c>
      <c r="AK149" s="8">
        <v>200</v>
      </c>
      <c r="AL149" s="8">
        <v>200</v>
      </c>
      <c r="AM149" s="8">
        <v>200</v>
      </c>
      <c r="AN149" s="8">
        <v>200</v>
      </c>
      <c r="AO149" s="8">
        <v>200</v>
      </c>
      <c r="AP149" s="25"/>
    </row>
    <row r="150" s="8" customFormat="1" spans="1:42">
      <c r="A150" s="21">
        <v>160003</v>
      </c>
      <c r="B150" s="22" t="s">
        <v>345</v>
      </c>
      <c r="C150" s="22" t="s">
        <v>345</v>
      </c>
      <c r="D150" s="23" t="s">
        <v>346</v>
      </c>
      <c r="E150" s="8">
        <v>60</v>
      </c>
      <c r="F150" s="8">
        <v>100</v>
      </c>
      <c r="G150" s="8">
        <v>1.4</v>
      </c>
      <c r="H150" s="8">
        <v>10</v>
      </c>
      <c r="I150" s="25" t="s">
        <v>49</v>
      </c>
      <c r="J150" s="8">
        <v>-1</v>
      </c>
      <c r="K150" s="8">
        <v>0</v>
      </c>
      <c r="L150" s="8">
        <v>0</v>
      </c>
      <c r="N150" s="26">
        <v>4126</v>
      </c>
      <c r="O150" s="8">
        <v>1</v>
      </c>
      <c r="Q150" s="23" t="s">
        <v>346</v>
      </c>
      <c r="R150" s="23" t="s">
        <v>347</v>
      </c>
      <c r="S150" s="25">
        <v>4</v>
      </c>
      <c r="T150" s="23" t="s">
        <v>347</v>
      </c>
      <c r="U150" s="23" t="s">
        <v>347</v>
      </c>
      <c r="V150" s="23" t="s">
        <v>347</v>
      </c>
      <c r="W150" s="23" t="s">
        <v>347</v>
      </c>
      <c r="X150" s="23" t="s">
        <v>347</v>
      </c>
      <c r="Y150" s="23" t="s">
        <v>347</v>
      </c>
      <c r="Z150" s="23" t="s">
        <v>347</v>
      </c>
      <c r="AA150" s="23" t="s">
        <v>348</v>
      </c>
      <c r="AB150" s="23" t="s">
        <v>348</v>
      </c>
      <c r="AC150" s="23" t="s">
        <v>348</v>
      </c>
      <c r="AD150" s="23" t="s">
        <v>348</v>
      </c>
      <c r="AE150" s="23" t="s">
        <v>348</v>
      </c>
      <c r="AF150" s="23" t="s">
        <v>348</v>
      </c>
      <c r="AG150" s="23" t="s">
        <v>348</v>
      </c>
      <c r="AH150" s="23" t="s">
        <v>348</v>
      </c>
      <c r="AI150" s="8">
        <v>1</v>
      </c>
      <c r="AJ150" s="8">
        <v>200</v>
      </c>
      <c r="AK150" s="8">
        <v>200</v>
      </c>
      <c r="AL150" s="8">
        <v>200</v>
      </c>
      <c r="AM150" s="8">
        <v>200</v>
      </c>
      <c r="AN150" s="8">
        <v>200</v>
      </c>
      <c r="AO150" s="8">
        <v>200</v>
      </c>
      <c r="AP150" s="25"/>
    </row>
    <row r="151" s="8" customFormat="1" spans="1:42">
      <c r="A151" s="21">
        <v>160004</v>
      </c>
      <c r="B151" s="22" t="s">
        <v>349</v>
      </c>
      <c r="C151" s="22" t="s">
        <v>349</v>
      </c>
      <c r="D151" s="23" t="s">
        <v>350</v>
      </c>
      <c r="E151" s="8">
        <v>61</v>
      </c>
      <c r="F151" s="8">
        <v>100</v>
      </c>
      <c r="G151" s="8">
        <v>1.4</v>
      </c>
      <c r="H151" s="8">
        <v>10</v>
      </c>
      <c r="I151" s="25" t="s">
        <v>49</v>
      </c>
      <c r="J151" s="8">
        <v>-1</v>
      </c>
      <c r="K151" s="8">
        <v>0</v>
      </c>
      <c r="L151" s="8">
        <v>0</v>
      </c>
      <c r="N151" s="26">
        <v>4127</v>
      </c>
      <c r="O151" s="8">
        <v>1</v>
      </c>
      <c r="Q151" s="23" t="s">
        <v>350</v>
      </c>
      <c r="R151" s="23" t="s">
        <v>351</v>
      </c>
      <c r="S151" s="25">
        <v>5</v>
      </c>
      <c r="T151" s="23" t="s">
        <v>351</v>
      </c>
      <c r="U151" s="23" t="s">
        <v>351</v>
      </c>
      <c r="V151" s="23" t="s">
        <v>351</v>
      </c>
      <c r="W151" s="23" t="s">
        <v>351</v>
      </c>
      <c r="X151" s="23" t="s">
        <v>351</v>
      </c>
      <c r="Y151" s="23" t="s">
        <v>351</v>
      </c>
      <c r="Z151" s="23" t="s">
        <v>351</v>
      </c>
      <c r="AA151" s="23" t="s">
        <v>352</v>
      </c>
      <c r="AB151" s="23" t="s">
        <v>352</v>
      </c>
      <c r="AC151" s="23" t="s">
        <v>352</v>
      </c>
      <c r="AD151" s="23" t="s">
        <v>352</v>
      </c>
      <c r="AE151" s="23" t="s">
        <v>352</v>
      </c>
      <c r="AF151" s="23" t="s">
        <v>352</v>
      </c>
      <c r="AG151" s="23" t="s">
        <v>352</v>
      </c>
      <c r="AH151" s="23" t="s">
        <v>352</v>
      </c>
      <c r="AI151" s="8">
        <v>1</v>
      </c>
      <c r="AJ151" s="8">
        <v>50</v>
      </c>
      <c r="AK151" s="8">
        <v>60</v>
      </c>
      <c r="AL151" s="8">
        <v>70</v>
      </c>
      <c r="AM151" s="8">
        <v>90</v>
      </c>
      <c r="AN151" s="8">
        <v>200</v>
      </c>
      <c r="AO151" s="8">
        <v>200</v>
      </c>
      <c r="AP151" s="25"/>
    </row>
    <row r="152" s="8" customFormat="1" spans="1:42">
      <c r="A152" s="21">
        <v>160005</v>
      </c>
      <c r="B152" s="22" t="s">
        <v>353</v>
      </c>
      <c r="C152" s="22" t="s">
        <v>353</v>
      </c>
      <c r="D152" s="23" t="s">
        <v>354</v>
      </c>
      <c r="E152" s="8">
        <v>62</v>
      </c>
      <c r="F152" s="8">
        <v>120</v>
      </c>
      <c r="G152" s="8">
        <v>0</v>
      </c>
      <c r="H152" s="8">
        <v>10</v>
      </c>
      <c r="I152" s="25" t="s">
        <v>76</v>
      </c>
      <c r="J152" s="8">
        <v>-1</v>
      </c>
      <c r="K152" s="8">
        <v>0</v>
      </c>
      <c r="L152" s="8">
        <v>0</v>
      </c>
      <c r="N152" s="26">
        <v>4127</v>
      </c>
      <c r="O152" s="8">
        <v>1</v>
      </c>
      <c r="Q152" s="23" t="s">
        <v>354</v>
      </c>
      <c r="R152" s="23" t="s">
        <v>355</v>
      </c>
      <c r="S152" s="25">
        <v>6</v>
      </c>
      <c r="T152" s="23" t="s">
        <v>355</v>
      </c>
      <c r="U152" s="23" t="s">
        <v>355</v>
      </c>
      <c r="V152" s="23" t="s">
        <v>356</v>
      </c>
      <c r="W152" s="23" t="s">
        <v>355</v>
      </c>
      <c r="X152" s="23" t="s">
        <v>355</v>
      </c>
      <c r="Y152" s="23" t="s">
        <v>355</v>
      </c>
      <c r="Z152" s="23" t="s">
        <v>355</v>
      </c>
      <c r="AA152" s="23" t="s">
        <v>357</v>
      </c>
      <c r="AB152" s="23" t="s">
        <v>358</v>
      </c>
      <c r="AC152" s="23" t="s">
        <v>358</v>
      </c>
      <c r="AD152" s="23" t="s">
        <v>358</v>
      </c>
      <c r="AE152" s="23" t="s">
        <v>358</v>
      </c>
      <c r="AF152" s="23" t="s">
        <v>358</v>
      </c>
      <c r="AG152" s="23" t="s">
        <v>358</v>
      </c>
      <c r="AH152" s="23" t="s">
        <v>358</v>
      </c>
      <c r="AI152" s="8">
        <v>1</v>
      </c>
      <c r="AJ152" s="8">
        <v>200</v>
      </c>
      <c r="AK152" s="8">
        <v>200</v>
      </c>
      <c r="AL152" s="8">
        <v>200</v>
      </c>
      <c r="AM152" s="8">
        <v>200</v>
      </c>
      <c r="AN152" s="8">
        <v>200</v>
      </c>
      <c r="AO152" s="8">
        <v>200</v>
      </c>
      <c r="AP152" s="25"/>
    </row>
    <row r="153" s="8" customFormat="1" spans="1:42">
      <c r="A153" s="21">
        <v>160006</v>
      </c>
      <c r="B153" s="22" t="s">
        <v>359</v>
      </c>
      <c r="C153" s="22" t="s">
        <v>359</v>
      </c>
      <c r="D153" s="23" t="s">
        <v>360</v>
      </c>
      <c r="E153" s="8">
        <v>63</v>
      </c>
      <c r="F153" s="8">
        <v>-1</v>
      </c>
      <c r="G153" s="8">
        <v>0.667</v>
      </c>
      <c r="H153" s="8">
        <v>6</v>
      </c>
      <c r="I153" s="25" t="s">
        <v>71</v>
      </c>
      <c r="J153" s="8">
        <v>-1</v>
      </c>
      <c r="K153" s="8">
        <v>0</v>
      </c>
      <c r="L153" s="8">
        <v>0</v>
      </c>
      <c r="N153" s="26">
        <v>1</v>
      </c>
      <c r="O153" s="8">
        <v>1</v>
      </c>
      <c r="Q153" s="23" t="s">
        <v>360</v>
      </c>
      <c r="R153" s="23" t="s">
        <v>361</v>
      </c>
      <c r="S153" s="25">
        <v>7</v>
      </c>
      <c r="T153" s="23" t="s">
        <v>361</v>
      </c>
      <c r="U153" s="23" t="s">
        <v>361</v>
      </c>
      <c r="V153" s="23" t="s">
        <v>361</v>
      </c>
      <c r="W153" s="23" t="s">
        <v>361</v>
      </c>
      <c r="X153" s="23" t="s">
        <v>361</v>
      </c>
      <c r="Y153" s="23" t="s">
        <v>361</v>
      </c>
      <c r="Z153" s="23" t="s">
        <v>361</v>
      </c>
      <c r="AA153" s="23" t="s">
        <v>362</v>
      </c>
      <c r="AB153" s="23" t="s">
        <v>363</v>
      </c>
      <c r="AC153" s="23" t="s">
        <v>363</v>
      </c>
      <c r="AD153" s="23" t="s">
        <v>363</v>
      </c>
      <c r="AE153" s="23" t="s">
        <v>363</v>
      </c>
      <c r="AF153" s="23" t="s">
        <v>363</v>
      </c>
      <c r="AG153" s="23" t="s">
        <v>363</v>
      </c>
      <c r="AH153" s="23" t="s">
        <v>363</v>
      </c>
      <c r="AI153" s="8">
        <v>1</v>
      </c>
      <c r="AJ153" s="8">
        <v>200</v>
      </c>
      <c r="AK153" s="8">
        <v>200</v>
      </c>
      <c r="AL153" s="8">
        <v>200</v>
      </c>
      <c r="AM153" s="8">
        <v>200</v>
      </c>
      <c r="AN153" s="8">
        <v>200</v>
      </c>
      <c r="AO153" s="8">
        <v>200</v>
      </c>
      <c r="AP153" s="25"/>
    </row>
    <row r="154" s="8" customFormat="1" spans="1:42">
      <c r="A154" s="21">
        <v>160007</v>
      </c>
      <c r="B154" s="22" t="s">
        <v>364</v>
      </c>
      <c r="C154" s="22" t="s">
        <v>364</v>
      </c>
      <c r="D154" s="23" t="s">
        <v>365</v>
      </c>
      <c r="E154" s="8">
        <v>64</v>
      </c>
      <c r="F154" s="8">
        <v>120</v>
      </c>
      <c r="G154" s="8">
        <v>0</v>
      </c>
      <c r="H154" s="8">
        <v>120</v>
      </c>
      <c r="I154" s="25" t="s">
        <v>76</v>
      </c>
      <c r="J154" s="8">
        <v>-1</v>
      </c>
      <c r="K154" s="8">
        <v>0</v>
      </c>
      <c r="L154" s="8">
        <v>0</v>
      </c>
      <c r="N154" s="26">
        <v>4127</v>
      </c>
      <c r="O154" s="8">
        <v>1</v>
      </c>
      <c r="Q154" s="23" t="s">
        <v>366</v>
      </c>
      <c r="R154" s="23" t="s">
        <v>367</v>
      </c>
      <c r="S154" s="25">
        <v>8</v>
      </c>
      <c r="T154" s="23" t="s">
        <v>367</v>
      </c>
      <c r="U154" s="23" t="s">
        <v>367</v>
      </c>
      <c r="V154" s="23" t="s">
        <v>367</v>
      </c>
      <c r="W154" s="23" t="s">
        <v>367</v>
      </c>
      <c r="X154" s="23" t="s">
        <v>367</v>
      </c>
      <c r="Y154" s="23" t="s">
        <v>367</v>
      </c>
      <c r="Z154" s="23" t="s">
        <v>367</v>
      </c>
      <c r="AA154" s="23" t="s">
        <v>78</v>
      </c>
      <c r="AB154" s="23" t="s">
        <v>78</v>
      </c>
      <c r="AC154" s="23" t="s">
        <v>78</v>
      </c>
      <c r="AD154" s="23" t="s">
        <v>78</v>
      </c>
      <c r="AE154" s="23" t="s">
        <v>78</v>
      </c>
      <c r="AF154" s="23" t="s">
        <v>78</v>
      </c>
      <c r="AG154" s="23" t="s">
        <v>78</v>
      </c>
      <c r="AH154" s="23" t="s">
        <v>78</v>
      </c>
      <c r="AI154" s="8">
        <v>1</v>
      </c>
      <c r="AJ154" s="8">
        <v>2</v>
      </c>
      <c r="AK154" s="8">
        <v>3</v>
      </c>
      <c r="AL154" s="8">
        <v>4</v>
      </c>
      <c r="AM154" s="8">
        <v>5</v>
      </c>
      <c r="AN154" s="8">
        <v>6</v>
      </c>
      <c r="AO154" s="8">
        <v>7</v>
      </c>
      <c r="AP154" s="25"/>
    </row>
    <row r="155" s="7" customFormat="1" hidden="1" spans="1:42">
      <c r="A155" s="15">
        <v>160012</v>
      </c>
      <c r="B155" s="15" t="s">
        <v>368</v>
      </c>
      <c r="C155" s="15" t="s">
        <v>368</v>
      </c>
      <c r="D155" s="16" t="s">
        <v>80</v>
      </c>
      <c r="E155" s="7">
        <v>2457</v>
      </c>
      <c r="F155" s="7">
        <v>-1</v>
      </c>
      <c r="G155" s="7">
        <v>0</v>
      </c>
      <c r="H155" s="7">
        <v>0</v>
      </c>
      <c r="I155" s="15" t="s">
        <v>43</v>
      </c>
      <c r="J155" s="7">
        <v>-1</v>
      </c>
      <c r="K155" s="7">
        <v>0</v>
      </c>
      <c r="L155" s="7">
        <v>0</v>
      </c>
      <c r="N155" s="24">
        <v>1</v>
      </c>
      <c r="O155" s="7">
        <v>1</v>
      </c>
      <c r="Q155" s="7" t="s">
        <v>149</v>
      </c>
      <c r="R155" s="7" t="s">
        <v>149</v>
      </c>
      <c r="S155" s="15">
        <v>9</v>
      </c>
      <c r="T155" s="7" t="str">
        <f t="shared" ref="T155:T175" si="215">B155</f>
        <v>推衍</v>
      </c>
      <c r="U155" s="7" t="str">
        <f t="shared" ref="U155:Z155" si="216">T155</f>
        <v>推衍</v>
      </c>
      <c r="V155" s="7" t="str">
        <f t="shared" si="216"/>
        <v>推衍</v>
      </c>
      <c r="W155" s="7" t="str">
        <f t="shared" si="216"/>
        <v>推衍</v>
      </c>
      <c r="X155" s="7" t="str">
        <f t="shared" si="216"/>
        <v>推衍</v>
      </c>
      <c r="Y155" s="7" t="str">
        <f t="shared" si="216"/>
        <v>推衍</v>
      </c>
      <c r="Z155" s="7" t="str">
        <f t="shared" si="216"/>
        <v>推衍</v>
      </c>
      <c r="AA155" s="7" t="s">
        <v>81</v>
      </c>
      <c r="AB155" s="7" t="str">
        <f t="shared" ref="AB155:AH155" si="217">AA155</f>
        <v>无</v>
      </c>
      <c r="AC155" s="7" t="str">
        <f t="shared" si="217"/>
        <v>无</v>
      </c>
      <c r="AD155" s="7" t="str">
        <f t="shared" si="217"/>
        <v>无</v>
      </c>
      <c r="AE155" s="7" t="str">
        <f t="shared" si="217"/>
        <v>无</v>
      </c>
      <c r="AF155" s="7" t="str">
        <f t="shared" si="217"/>
        <v>无</v>
      </c>
      <c r="AG155" s="7" t="str">
        <f t="shared" si="217"/>
        <v>无</v>
      </c>
      <c r="AH155" s="7" t="str">
        <f t="shared" si="217"/>
        <v>无</v>
      </c>
      <c r="AI155" s="15">
        <v>1</v>
      </c>
      <c r="AJ155" s="15">
        <v>2</v>
      </c>
      <c r="AK155" s="15">
        <v>3</v>
      </c>
      <c r="AL155" s="15">
        <v>4</v>
      </c>
      <c r="AM155" s="15">
        <v>5</v>
      </c>
      <c r="AN155" s="15">
        <v>6</v>
      </c>
      <c r="AO155" s="15">
        <v>7</v>
      </c>
      <c r="AP155" s="15"/>
    </row>
    <row r="156" s="7" customFormat="1" hidden="1" spans="1:42">
      <c r="A156" s="15">
        <v>160013</v>
      </c>
      <c r="B156" s="15" t="s">
        <v>369</v>
      </c>
      <c r="C156" s="15" t="s">
        <v>369</v>
      </c>
      <c r="D156" s="16" t="s">
        <v>83</v>
      </c>
      <c r="E156" s="7">
        <v>2458</v>
      </c>
      <c r="F156" s="7">
        <v>-1</v>
      </c>
      <c r="G156" s="7">
        <v>0</v>
      </c>
      <c r="H156" s="7">
        <v>0</v>
      </c>
      <c r="I156" s="15" t="s">
        <v>370</v>
      </c>
      <c r="J156" s="7">
        <v>-1</v>
      </c>
      <c r="K156" s="7">
        <v>0</v>
      </c>
      <c r="L156" s="7">
        <v>0</v>
      </c>
      <c r="N156" s="24">
        <v>1</v>
      </c>
      <c r="O156" s="7">
        <v>1</v>
      </c>
      <c r="Q156" s="7" t="s">
        <v>149</v>
      </c>
      <c r="R156" s="7" t="s">
        <v>149</v>
      </c>
      <c r="S156" s="15">
        <v>10</v>
      </c>
      <c r="T156" s="7" t="str">
        <f t="shared" si="215"/>
        <v>莲花心音</v>
      </c>
      <c r="U156" s="7" t="str">
        <f t="shared" ref="U156:Z156" si="218">T156</f>
        <v>莲花心音</v>
      </c>
      <c r="V156" s="7" t="str">
        <f t="shared" si="218"/>
        <v>莲花心音</v>
      </c>
      <c r="W156" s="7" t="str">
        <f t="shared" si="218"/>
        <v>莲花心音</v>
      </c>
      <c r="X156" s="7" t="str">
        <f t="shared" si="218"/>
        <v>莲花心音</v>
      </c>
      <c r="Y156" s="7" t="str">
        <f t="shared" si="218"/>
        <v>莲花心音</v>
      </c>
      <c r="Z156" s="7" t="str">
        <f t="shared" si="218"/>
        <v>莲花心音</v>
      </c>
      <c r="AA156" s="7" t="s">
        <v>81</v>
      </c>
      <c r="AB156" s="7" t="str">
        <f t="shared" ref="AB156:AH156" si="219">AA156</f>
        <v>无</v>
      </c>
      <c r="AC156" s="7" t="str">
        <f t="shared" si="219"/>
        <v>无</v>
      </c>
      <c r="AD156" s="7" t="str">
        <f t="shared" si="219"/>
        <v>无</v>
      </c>
      <c r="AE156" s="7" t="str">
        <f t="shared" si="219"/>
        <v>无</v>
      </c>
      <c r="AF156" s="7" t="str">
        <f t="shared" si="219"/>
        <v>无</v>
      </c>
      <c r="AG156" s="7" t="str">
        <f t="shared" si="219"/>
        <v>无</v>
      </c>
      <c r="AH156" s="7" t="str">
        <f t="shared" si="219"/>
        <v>无</v>
      </c>
      <c r="AI156" s="15">
        <v>1</v>
      </c>
      <c r="AJ156" s="15">
        <v>2</v>
      </c>
      <c r="AK156" s="15">
        <v>3</v>
      </c>
      <c r="AL156" s="15">
        <v>4</v>
      </c>
      <c r="AM156" s="15">
        <v>5</v>
      </c>
      <c r="AN156" s="15">
        <v>6</v>
      </c>
      <c r="AO156" s="15">
        <v>7</v>
      </c>
      <c r="AP156" s="15"/>
    </row>
    <row r="157" s="7" customFormat="1" hidden="1" spans="1:42">
      <c r="A157" s="15">
        <v>160014</v>
      </c>
      <c r="B157" s="15" t="s">
        <v>371</v>
      </c>
      <c r="C157" s="15" t="s">
        <v>371</v>
      </c>
      <c r="D157" s="17" t="s">
        <v>85</v>
      </c>
      <c r="E157" s="7">
        <v>2459</v>
      </c>
      <c r="F157" s="7">
        <v>-1</v>
      </c>
      <c r="G157" s="7">
        <v>0</v>
      </c>
      <c r="H157" s="7">
        <v>0</v>
      </c>
      <c r="I157" s="15" t="s">
        <v>43</v>
      </c>
      <c r="J157" s="7">
        <v>-1</v>
      </c>
      <c r="K157" s="7">
        <v>0</v>
      </c>
      <c r="L157" s="7">
        <v>0</v>
      </c>
      <c r="N157" s="24">
        <v>1</v>
      </c>
      <c r="O157" s="7">
        <v>1</v>
      </c>
      <c r="Q157" s="7" t="s">
        <v>149</v>
      </c>
      <c r="R157" s="7" t="s">
        <v>149</v>
      </c>
      <c r="S157" s="15">
        <v>11</v>
      </c>
      <c r="T157" s="7" t="str">
        <f t="shared" si="215"/>
        <v>劳心</v>
      </c>
      <c r="U157" s="7" t="str">
        <f t="shared" ref="U157:Z157" si="220">T157</f>
        <v>劳心</v>
      </c>
      <c r="V157" s="7" t="str">
        <f t="shared" si="220"/>
        <v>劳心</v>
      </c>
      <c r="W157" s="7" t="str">
        <f t="shared" si="220"/>
        <v>劳心</v>
      </c>
      <c r="X157" s="7" t="str">
        <f t="shared" si="220"/>
        <v>劳心</v>
      </c>
      <c r="Y157" s="7" t="str">
        <f t="shared" si="220"/>
        <v>劳心</v>
      </c>
      <c r="Z157" s="7" t="str">
        <f t="shared" si="220"/>
        <v>劳心</v>
      </c>
      <c r="AA157" s="7" t="s">
        <v>81</v>
      </c>
      <c r="AB157" s="7" t="str">
        <f t="shared" ref="AB157:AH157" si="221">AA157</f>
        <v>无</v>
      </c>
      <c r="AC157" s="7" t="str">
        <f t="shared" si="221"/>
        <v>无</v>
      </c>
      <c r="AD157" s="7" t="str">
        <f t="shared" si="221"/>
        <v>无</v>
      </c>
      <c r="AE157" s="7" t="str">
        <f t="shared" si="221"/>
        <v>无</v>
      </c>
      <c r="AF157" s="7" t="str">
        <f t="shared" si="221"/>
        <v>无</v>
      </c>
      <c r="AG157" s="7" t="str">
        <f t="shared" si="221"/>
        <v>无</v>
      </c>
      <c r="AH157" s="7" t="str">
        <f t="shared" si="221"/>
        <v>无</v>
      </c>
      <c r="AI157" s="15">
        <v>1</v>
      </c>
      <c r="AJ157" s="15">
        <v>2</v>
      </c>
      <c r="AK157" s="15">
        <v>3</v>
      </c>
      <c r="AL157" s="15">
        <v>4</v>
      </c>
      <c r="AM157" s="15">
        <v>5</v>
      </c>
      <c r="AN157" s="15">
        <v>6</v>
      </c>
      <c r="AO157" s="15">
        <v>7</v>
      </c>
      <c r="AP157" s="15"/>
    </row>
    <row r="158" s="7" customFormat="1" hidden="1" spans="1:42">
      <c r="A158" s="15">
        <v>160015</v>
      </c>
      <c r="B158" s="15" t="s">
        <v>372</v>
      </c>
      <c r="C158" s="15" t="s">
        <v>372</v>
      </c>
      <c r="D158" s="18" t="s">
        <v>87</v>
      </c>
      <c r="E158" s="7">
        <v>2460</v>
      </c>
      <c r="F158" s="7">
        <v>-1</v>
      </c>
      <c r="G158" s="7">
        <v>0</v>
      </c>
      <c r="H158" s="7">
        <v>0</v>
      </c>
      <c r="I158" s="15" t="s">
        <v>43</v>
      </c>
      <c r="J158" s="7">
        <v>-1</v>
      </c>
      <c r="K158" s="7">
        <v>0</v>
      </c>
      <c r="L158" s="7">
        <v>0</v>
      </c>
      <c r="N158" s="24">
        <v>1</v>
      </c>
      <c r="O158" s="7">
        <v>1</v>
      </c>
      <c r="Q158" s="7" t="s">
        <v>149</v>
      </c>
      <c r="R158" s="7" t="s">
        <v>149</v>
      </c>
      <c r="S158" s="15">
        <v>12</v>
      </c>
      <c r="T158" s="7" t="str">
        <f t="shared" si="215"/>
        <v>甘露</v>
      </c>
      <c r="U158" s="7" t="str">
        <f t="shared" ref="U158:Z158" si="222">T158</f>
        <v>甘露</v>
      </c>
      <c r="V158" s="7" t="str">
        <f t="shared" si="222"/>
        <v>甘露</v>
      </c>
      <c r="W158" s="7" t="str">
        <f t="shared" si="222"/>
        <v>甘露</v>
      </c>
      <c r="X158" s="7" t="str">
        <f t="shared" si="222"/>
        <v>甘露</v>
      </c>
      <c r="Y158" s="7" t="str">
        <f t="shared" si="222"/>
        <v>甘露</v>
      </c>
      <c r="Z158" s="7" t="str">
        <f t="shared" si="222"/>
        <v>甘露</v>
      </c>
      <c r="AA158" s="7" t="s">
        <v>81</v>
      </c>
      <c r="AB158" s="7" t="str">
        <f t="shared" ref="AB158:AH158" si="223">AA158</f>
        <v>无</v>
      </c>
      <c r="AC158" s="7" t="str">
        <f t="shared" si="223"/>
        <v>无</v>
      </c>
      <c r="AD158" s="7" t="str">
        <f t="shared" si="223"/>
        <v>无</v>
      </c>
      <c r="AE158" s="7" t="str">
        <f t="shared" si="223"/>
        <v>无</v>
      </c>
      <c r="AF158" s="7" t="str">
        <f t="shared" si="223"/>
        <v>无</v>
      </c>
      <c r="AG158" s="7" t="str">
        <f t="shared" si="223"/>
        <v>无</v>
      </c>
      <c r="AH158" s="7" t="str">
        <f t="shared" si="223"/>
        <v>无</v>
      </c>
      <c r="AI158" s="15">
        <v>1</v>
      </c>
      <c r="AJ158" s="15">
        <v>2</v>
      </c>
      <c r="AK158" s="15">
        <v>3</v>
      </c>
      <c r="AL158" s="15">
        <v>4</v>
      </c>
      <c r="AM158" s="15">
        <v>5</v>
      </c>
      <c r="AN158" s="15">
        <v>6</v>
      </c>
      <c r="AO158" s="15">
        <v>7</v>
      </c>
      <c r="AP158" s="15"/>
    </row>
    <row r="159" s="7" customFormat="1" hidden="1" spans="1:42">
      <c r="A159" s="15">
        <v>160016</v>
      </c>
      <c r="B159" s="15" t="s">
        <v>373</v>
      </c>
      <c r="C159" s="15" t="s">
        <v>373</v>
      </c>
      <c r="D159" s="17" t="s">
        <v>89</v>
      </c>
      <c r="E159" s="7">
        <v>2461</v>
      </c>
      <c r="F159" s="7">
        <v>-1</v>
      </c>
      <c r="G159" s="7">
        <v>0</v>
      </c>
      <c r="H159" s="7">
        <v>0</v>
      </c>
      <c r="I159" s="15" t="s">
        <v>43</v>
      </c>
      <c r="J159" s="7">
        <v>-1</v>
      </c>
      <c r="K159" s="7">
        <v>0</v>
      </c>
      <c r="L159" s="7">
        <v>0</v>
      </c>
      <c r="N159" s="24">
        <v>1</v>
      </c>
      <c r="O159" s="7">
        <v>1</v>
      </c>
      <c r="Q159" s="7" t="s">
        <v>149</v>
      </c>
      <c r="R159" s="7" t="s">
        <v>149</v>
      </c>
      <c r="S159" s="15">
        <v>13</v>
      </c>
      <c r="T159" s="7" t="str">
        <f t="shared" si="215"/>
        <v>法华</v>
      </c>
      <c r="U159" s="7" t="str">
        <f t="shared" ref="U159:Z159" si="224">T159</f>
        <v>法华</v>
      </c>
      <c r="V159" s="7" t="str">
        <f t="shared" si="224"/>
        <v>法华</v>
      </c>
      <c r="W159" s="7" t="str">
        <f t="shared" si="224"/>
        <v>法华</v>
      </c>
      <c r="X159" s="7" t="str">
        <f t="shared" si="224"/>
        <v>法华</v>
      </c>
      <c r="Y159" s="7" t="str">
        <f t="shared" si="224"/>
        <v>法华</v>
      </c>
      <c r="Z159" s="7" t="str">
        <f t="shared" si="224"/>
        <v>法华</v>
      </c>
      <c r="AA159" s="7" t="s">
        <v>81</v>
      </c>
      <c r="AB159" s="7" t="str">
        <f t="shared" ref="AB159:AH159" si="225">AA159</f>
        <v>无</v>
      </c>
      <c r="AC159" s="7" t="str">
        <f t="shared" si="225"/>
        <v>无</v>
      </c>
      <c r="AD159" s="7" t="str">
        <f t="shared" si="225"/>
        <v>无</v>
      </c>
      <c r="AE159" s="7" t="str">
        <f t="shared" si="225"/>
        <v>无</v>
      </c>
      <c r="AF159" s="7" t="str">
        <f t="shared" si="225"/>
        <v>无</v>
      </c>
      <c r="AG159" s="7" t="str">
        <f t="shared" si="225"/>
        <v>无</v>
      </c>
      <c r="AH159" s="7" t="str">
        <f t="shared" si="225"/>
        <v>无</v>
      </c>
      <c r="AI159" s="15">
        <v>1</v>
      </c>
      <c r="AJ159" s="15">
        <v>2</v>
      </c>
      <c r="AK159" s="15">
        <v>3</v>
      </c>
      <c r="AL159" s="15">
        <v>4</v>
      </c>
      <c r="AM159" s="15">
        <v>5</v>
      </c>
      <c r="AN159" s="15">
        <v>6</v>
      </c>
      <c r="AO159" s="15">
        <v>7</v>
      </c>
      <c r="AP159" s="15"/>
    </row>
    <row r="160" s="7" customFormat="1" hidden="1" spans="1:42">
      <c r="A160" s="15">
        <v>160017</v>
      </c>
      <c r="B160" s="15" t="s">
        <v>374</v>
      </c>
      <c r="C160" s="15" t="s">
        <v>374</v>
      </c>
      <c r="D160" s="17" t="s">
        <v>91</v>
      </c>
      <c r="E160" s="7">
        <v>2462</v>
      </c>
      <c r="F160" s="7">
        <v>-1</v>
      </c>
      <c r="G160" s="7">
        <v>0</v>
      </c>
      <c r="H160" s="7">
        <v>0</v>
      </c>
      <c r="I160" s="15" t="s">
        <v>43</v>
      </c>
      <c r="J160" s="7">
        <v>-1</v>
      </c>
      <c r="K160" s="7">
        <v>0</v>
      </c>
      <c r="L160" s="7">
        <v>0</v>
      </c>
      <c r="N160" s="24">
        <v>1</v>
      </c>
      <c r="O160" s="7">
        <v>1</v>
      </c>
      <c r="Q160" s="7" t="s">
        <v>149</v>
      </c>
      <c r="R160" s="7" t="s">
        <v>149</v>
      </c>
      <c r="S160" s="15">
        <v>14</v>
      </c>
      <c r="T160" s="7" t="str">
        <f t="shared" si="215"/>
        <v>玉帛</v>
      </c>
      <c r="U160" s="7" t="str">
        <f t="shared" ref="U160:Z160" si="226">T160</f>
        <v>玉帛</v>
      </c>
      <c r="V160" s="7" t="str">
        <f t="shared" si="226"/>
        <v>玉帛</v>
      </c>
      <c r="W160" s="7" t="str">
        <f t="shared" si="226"/>
        <v>玉帛</v>
      </c>
      <c r="X160" s="7" t="str">
        <f t="shared" si="226"/>
        <v>玉帛</v>
      </c>
      <c r="Y160" s="7" t="str">
        <f t="shared" si="226"/>
        <v>玉帛</v>
      </c>
      <c r="Z160" s="7" t="str">
        <f t="shared" si="226"/>
        <v>玉帛</v>
      </c>
      <c r="AA160" s="7" t="s">
        <v>81</v>
      </c>
      <c r="AB160" s="7" t="str">
        <f t="shared" ref="AB160:AH160" si="227">AA160</f>
        <v>无</v>
      </c>
      <c r="AC160" s="7" t="str">
        <f t="shared" si="227"/>
        <v>无</v>
      </c>
      <c r="AD160" s="7" t="str">
        <f t="shared" si="227"/>
        <v>无</v>
      </c>
      <c r="AE160" s="7" t="str">
        <f t="shared" si="227"/>
        <v>无</v>
      </c>
      <c r="AF160" s="7" t="str">
        <f t="shared" si="227"/>
        <v>无</v>
      </c>
      <c r="AG160" s="7" t="str">
        <f t="shared" si="227"/>
        <v>无</v>
      </c>
      <c r="AH160" s="7" t="str">
        <f t="shared" si="227"/>
        <v>无</v>
      </c>
      <c r="AI160" s="15">
        <v>1</v>
      </c>
      <c r="AJ160" s="15">
        <v>2</v>
      </c>
      <c r="AK160" s="15">
        <v>3</v>
      </c>
      <c r="AL160" s="15">
        <v>4</v>
      </c>
      <c r="AM160" s="15">
        <v>5</v>
      </c>
      <c r="AN160" s="15">
        <v>6</v>
      </c>
      <c r="AO160" s="15">
        <v>7</v>
      </c>
      <c r="AP160" s="15"/>
    </row>
    <row r="161" s="7" customFormat="1" hidden="1" spans="1:42">
      <c r="A161" s="15">
        <v>160018</v>
      </c>
      <c r="B161" s="15" t="s">
        <v>92</v>
      </c>
      <c r="C161" s="15" t="s">
        <v>92</v>
      </c>
      <c r="D161" s="19" t="s">
        <v>93</v>
      </c>
      <c r="E161" s="7">
        <v>2379</v>
      </c>
      <c r="F161" s="7">
        <v>-1</v>
      </c>
      <c r="G161" s="7">
        <v>0</v>
      </c>
      <c r="H161" s="7">
        <v>0</v>
      </c>
      <c r="I161" s="15" t="s">
        <v>43</v>
      </c>
      <c r="J161" s="7">
        <v>-1</v>
      </c>
      <c r="K161" s="7">
        <v>0</v>
      </c>
      <c r="L161" s="7">
        <v>0</v>
      </c>
      <c r="N161" s="24">
        <v>1</v>
      </c>
      <c r="O161" s="7">
        <v>1</v>
      </c>
      <c r="Q161" s="7" t="s">
        <v>149</v>
      </c>
      <c r="R161" s="7" t="s">
        <v>149</v>
      </c>
      <c r="S161" s="15">
        <v>15</v>
      </c>
      <c r="T161" s="7" t="str">
        <f t="shared" si="215"/>
        <v>额外能力</v>
      </c>
      <c r="U161" s="7" t="str">
        <f t="shared" ref="U161:Z161" si="228">T161</f>
        <v>额外能力</v>
      </c>
      <c r="V161" s="7" t="str">
        <f t="shared" si="228"/>
        <v>额外能力</v>
      </c>
      <c r="W161" s="7" t="str">
        <f t="shared" si="228"/>
        <v>额外能力</v>
      </c>
      <c r="X161" s="7" t="str">
        <f t="shared" si="228"/>
        <v>额外能力</v>
      </c>
      <c r="Y161" s="7" t="str">
        <f t="shared" si="228"/>
        <v>额外能力</v>
      </c>
      <c r="Z161" s="7" t="str">
        <f t="shared" si="228"/>
        <v>额外能力</v>
      </c>
      <c r="AA161" s="7" t="s">
        <v>81</v>
      </c>
      <c r="AB161" s="7" t="str">
        <f t="shared" ref="AB161:AH161" si="229">AA161</f>
        <v>无</v>
      </c>
      <c r="AC161" s="7" t="str">
        <f t="shared" si="229"/>
        <v>无</v>
      </c>
      <c r="AD161" s="7" t="str">
        <f t="shared" si="229"/>
        <v>无</v>
      </c>
      <c r="AE161" s="7" t="str">
        <f t="shared" si="229"/>
        <v>无</v>
      </c>
      <c r="AF161" s="7" t="str">
        <f t="shared" si="229"/>
        <v>无</v>
      </c>
      <c r="AG161" s="7" t="str">
        <f t="shared" si="229"/>
        <v>无</v>
      </c>
      <c r="AH161" s="7" t="str">
        <f t="shared" si="229"/>
        <v>无</v>
      </c>
      <c r="AI161" s="15">
        <v>1</v>
      </c>
      <c r="AJ161" s="15">
        <v>2</v>
      </c>
      <c r="AK161" s="15">
        <v>3</v>
      </c>
      <c r="AL161" s="15">
        <v>4</v>
      </c>
      <c r="AM161" s="15">
        <v>5</v>
      </c>
      <c r="AN161" s="15">
        <v>6</v>
      </c>
      <c r="AO161" s="15">
        <v>7</v>
      </c>
      <c r="AP161" s="15"/>
    </row>
    <row r="162" s="7" customFormat="1" hidden="1" spans="1:42">
      <c r="A162" s="15">
        <v>160019</v>
      </c>
      <c r="B162" s="15" t="s">
        <v>375</v>
      </c>
      <c r="C162" s="15" t="s">
        <v>375</v>
      </c>
      <c r="D162" s="17" t="s">
        <v>95</v>
      </c>
      <c r="E162" s="7">
        <v>2463</v>
      </c>
      <c r="F162" s="7">
        <v>-1</v>
      </c>
      <c r="G162" s="7">
        <v>0</v>
      </c>
      <c r="H162" s="7">
        <v>0</v>
      </c>
      <c r="I162" s="15" t="s">
        <v>43</v>
      </c>
      <c r="J162" s="7">
        <v>-1</v>
      </c>
      <c r="K162" s="7">
        <v>0</v>
      </c>
      <c r="L162" s="7">
        <v>0</v>
      </c>
      <c r="N162" s="24">
        <v>1</v>
      </c>
      <c r="O162" s="7">
        <v>1</v>
      </c>
      <c r="Q162" s="7" t="s">
        <v>149</v>
      </c>
      <c r="R162" s="7" t="s">
        <v>149</v>
      </c>
      <c r="S162" s="15">
        <v>16</v>
      </c>
      <c r="T162" s="7" t="str">
        <f t="shared" si="215"/>
        <v>化戈</v>
      </c>
      <c r="U162" s="7" t="str">
        <f t="shared" ref="U162:Z162" si="230">T162</f>
        <v>化戈</v>
      </c>
      <c r="V162" s="7" t="str">
        <f t="shared" si="230"/>
        <v>化戈</v>
      </c>
      <c r="W162" s="7" t="str">
        <f t="shared" si="230"/>
        <v>化戈</v>
      </c>
      <c r="X162" s="7" t="str">
        <f t="shared" si="230"/>
        <v>化戈</v>
      </c>
      <c r="Y162" s="7" t="str">
        <f t="shared" si="230"/>
        <v>化戈</v>
      </c>
      <c r="Z162" s="7" t="str">
        <f t="shared" si="230"/>
        <v>化戈</v>
      </c>
      <c r="AA162" s="7" t="s">
        <v>81</v>
      </c>
      <c r="AB162" s="7" t="str">
        <f t="shared" ref="AB162:AH162" si="231">AA162</f>
        <v>无</v>
      </c>
      <c r="AC162" s="7" t="str">
        <f t="shared" si="231"/>
        <v>无</v>
      </c>
      <c r="AD162" s="7" t="str">
        <f t="shared" si="231"/>
        <v>无</v>
      </c>
      <c r="AE162" s="7" t="str">
        <f t="shared" si="231"/>
        <v>无</v>
      </c>
      <c r="AF162" s="7" t="str">
        <f t="shared" si="231"/>
        <v>无</v>
      </c>
      <c r="AG162" s="7" t="str">
        <f t="shared" si="231"/>
        <v>无</v>
      </c>
      <c r="AH162" s="7" t="str">
        <f t="shared" si="231"/>
        <v>无</v>
      </c>
      <c r="AI162" s="15">
        <v>1</v>
      </c>
      <c r="AJ162" s="15">
        <v>2</v>
      </c>
      <c r="AK162" s="15">
        <v>3</v>
      </c>
      <c r="AL162" s="15">
        <v>4</v>
      </c>
      <c r="AM162" s="15">
        <v>5</v>
      </c>
      <c r="AN162" s="15">
        <v>6</v>
      </c>
      <c r="AO162" s="15">
        <v>7</v>
      </c>
      <c r="AP162" s="15"/>
    </row>
    <row r="163" s="7" customFormat="1" hidden="1" spans="1:42">
      <c r="A163" s="15">
        <v>160020</v>
      </c>
      <c r="B163" s="15" t="s">
        <v>376</v>
      </c>
      <c r="C163" s="15" t="s">
        <v>376</v>
      </c>
      <c r="D163" s="16" t="s">
        <v>97</v>
      </c>
      <c r="E163" s="7">
        <v>2464</v>
      </c>
      <c r="F163" s="7">
        <v>-1</v>
      </c>
      <c r="G163" s="7">
        <v>0</v>
      </c>
      <c r="H163" s="7">
        <v>0</v>
      </c>
      <c r="I163" s="15" t="s">
        <v>43</v>
      </c>
      <c r="J163" s="7">
        <v>-1</v>
      </c>
      <c r="K163" s="7">
        <v>0</v>
      </c>
      <c r="L163" s="7">
        <v>0</v>
      </c>
      <c r="N163" s="24">
        <v>1</v>
      </c>
      <c r="O163" s="7">
        <v>1</v>
      </c>
      <c r="Q163" s="7" t="s">
        <v>149</v>
      </c>
      <c r="R163" s="7" t="s">
        <v>149</v>
      </c>
      <c r="S163" s="15">
        <v>17</v>
      </c>
      <c r="T163" s="7" t="str">
        <f t="shared" si="215"/>
        <v>精心</v>
      </c>
      <c r="U163" s="7" t="str">
        <f t="shared" ref="U163:Z163" si="232">T163</f>
        <v>精心</v>
      </c>
      <c r="V163" s="7" t="str">
        <f t="shared" si="232"/>
        <v>精心</v>
      </c>
      <c r="W163" s="7" t="str">
        <f t="shared" si="232"/>
        <v>精心</v>
      </c>
      <c r="X163" s="7" t="str">
        <f t="shared" si="232"/>
        <v>精心</v>
      </c>
      <c r="Y163" s="7" t="str">
        <f t="shared" si="232"/>
        <v>精心</v>
      </c>
      <c r="Z163" s="7" t="str">
        <f t="shared" si="232"/>
        <v>精心</v>
      </c>
      <c r="AA163" s="7" t="s">
        <v>81</v>
      </c>
      <c r="AB163" s="7" t="str">
        <f t="shared" ref="AB163:AH163" si="233">AA163</f>
        <v>无</v>
      </c>
      <c r="AC163" s="7" t="str">
        <f t="shared" si="233"/>
        <v>无</v>
      </c>
      <c r="AD163" s="7" t="str">
        <f t="shared" si="233"/>
        <v>无</v>
      </c>
      <c r="AE163" s="7" t="str">
        <f t="shared" si="233"/>
        <v>无</v>
      </c>
      <c r="AF163" s="7" t="str">
        <f t="shared" si="233"/>
        <v>无</v>
      </c>
      <c r="AG163" s="7" t="str">
        <f t="shared" si="233"/>
        <v>无</v>
      </c>
      <c r="AH163" s="7" t="str">
        <f t="shared" si="233"/>
        <v>无</v>
      </c>
      <c r="AI163" s="15">
        <v>1</v>
      </c>
      <c r="AJ163" s="15">
        <v>2</v>
      </c>
      <c r="AK163" s="15">
        <v>3</v>
      </c>
      <c r="AL163" s="15">
        <v>4</v>
      </c>
      <c r="AM163" s="15">
        <v>5</v>
      </c>
      <c r="AN163" s="15">
        <v>6</v>
      </c>
      <c r="AO163" s="15">
        <v>7</v>
      </c>
      <c r="AP163" s="15"/>
    </row>
    <row r="164" s="7" customFormat="1" hidden="1" spans="1:42">
      <c r="A164" s="15">
        <v>160021</v>
      </c>
      <c r="B164" s="15" t="s">
        <v>377</v>
      </c>
      <c r="C164" s="15" t="s">
        <v>377</v>
      </c>
      <c r="D164" s="17" t="s">
        <v>91</v>
      </c>
      <c r="E164" s="7">
        <v>2465</v>
      </c>
      <c r="F164" s="7">
        <v>-1</v>
      </c>
      <c r="G164" s="7">
        <v>0</v>
      </c>
      <c r="H164" s="7">
        <v>0</v>
      </c>
      <c r="I164" s="15" t="s">
        <v>43</v>
      </c>
      <c r="J164" s="7">
        <v>-1</v>
      </c>
      <c r="K164" s="7">
        <v>0</v>
      </c>
      <c r="L164" s="7">
        <v>0</v>
      </c>
      <c r="N164" s="24">
        <v>1</v>
      </c>
      <c r="O164" s="7">
        <v>1</v>
      </c>
      <c r="Q164" s="7" t="s">
        <v>149</v>
      </c>
      <c r="R164" s="7" t="s">
        <v>149</v>
      </c>
      <c r="S164" s="15">
        <v>18</v>
      </c>
      <c r="T164" s="7" t="str">
        <f t="shared" si="215"/>
        <v>普渡</v>
      </c>
      <c r="U164" s="7" t="str">
        <f t="shared" ref="U164:Z164" si="234">T164</f>
        <v>普渡</v>
      </c>
      <c r="V164" s="7" t="str">
        <f t="shared" si="234"/>
        <v>普渡</v>
      </c>
      <c r="W164" s="7" t="str">
        <f t="shared" si="234"/>
        <v>普渡</v>
      </c>
      <c r="X164" s="7" t="str">
        <f t="shared" si="234"/>
        <v>普渡</v>
      </c>
      <c r="Y164" s="7" t="str">
        <f t="shared" si="234"/>
        <v>普渡</v>
      </c>
      <c r="Z164" s="7" t="str">
        <f t="shared" si="234"/>
        <v>普渡</v>
      </c>
      <c r="AA164" s="7" t="s">
        <v>81</v>
      </c>
      <c r="AB164" s="7" t="str">
        <f t="shared" ref="AB164:AH164" si="235">AA164</f>
        <v>无</v>
      </c>
      <c r="AC164" s="7" t="str">
        <f t="shared" si="235"/>
        <v>无</v>
      </c>
      <c r="AD164" s="7" t="str">
        <f t="shared" si="235"/>
        <v>无</v>
      </c>
      <c r="AE164" s="7" t="str">
        <f t="shared" si="235"/>
        <v>无</v>
      </c>
      <c r="AF164" s="7" t="str">
        <f t="shared" si="235"/>
        <v>无</v>
      </c>
      <c r="AG164" s="7" t="str">
        <f t="shared" si="235"/>
        <v>无</v>
      </c>
      <c r="AH164" s="7" t="str">
        <f t="shared" si="235"/>
        <v>无</v>
      </c>
      <c r="AI164" s="15">
        <v>1</v>
      </c>
      <c r="AJ164" s="15">
        <v>2</v>
      </c>
      <c r="AK164" s="15">
        <v>3</v>
      </c>
      <c r="AL164" s="15">
        <v>4</v>
      </c>
      <c r="AM164" s="15">
        <v>5</v>
      </c>
      <c r="AN164" s="15">
        <v>6</v>
      </c>
      <c r="AO164" s="15">
        <v>7</v>
      </c>
      <c r="AP164" s="15"/>
    </row>
    <row r="165" s="7" customFormat="1" hidden="1" spans="1:42">
      <c r="A165" s="15">
        <v>160022</v>
      </c>
      <c r="B165" s="15" t="s">
        <v>378</v>
      </c>
      <c r="C165" s="15" t="s">
        <v>378</v>
      </c>
      <c r="D165" s="17" t="s">
        <v>100</v>
      </c>
      <c r="E165" s="7">
        <v>2466</v>
      </c>
      <c r="F165" s="7">
        <v>-1</v>
      </c>
      <c r="G165" s="7">
        <v>0</v>
      </c>
      <c r="H165" s="7">
        <v>0</v>
      </c>
      <c r="I165" s="15" t="s">
        <v>43</v>
      </c>
      <c r="J165" s="7">
        <v>-1</v>
      </c>
      <c r="K165" s="7">
        <v>0</v>
      </c>
      <c r="L165" s="7">
        <v>0</v>
      </c>
      <c r="N165" s="24">
        <v>1</v>
      </c>
      <c r="O165" s="7">
        <v>1</v>
      </c>
      <c r="Q165" s="7" t="s">
        <v>149</v>
      </c>
      <c r="R165" s="7" t="s">
        <v>149</v>
      </c>
      <c r="S165" s="15">
        <v>19</v>
      </c>
      <c r="T165" s="7" t="str">
        <f t="shared" si="215"/>
        <v>清净</v>
      </c>
      <c r="U165" s="7" t="str">
        <f t="shared" ref="U165:Z165" si="236">T165</f>
        <v>清净</v>
      </c>
      <c r="V165" s="7" t="str">
        <f t="shared" si="236"/>
        <v>清净</v>
      </c>
      <c r="W165" s="7" t="str">
        <f t="shared" si="236"/>
        <v>清净</v>
      </c>
      <c r="X165" s="7" t="str">
        <f t="shared" si="236"/>
        <v>清净</v>
      </c>
      <c r="Y165" s="7" t="str">
        <f t="shared" si="236"/>
        <v>清净</v>
      </c>
      <c r="Z165" s="7" t="str">
        <f t="shared" si="236"/>
        <v>清净</v>
      </c>
      <c r="AA165" s="7" t="s">
        <v>81</v>
      </c>
      <c r="AB165" s="7" t="str">
        <f t="shared" ref="AB165:AH165" si="237">AA165</f>
        <v>无</v>
      </c>
      <c r="AC165" s="7" t="str">
        <f t="shared" si="237"/>
        <v>无</v>
      </c>
      <c r="AD165" s="7" t="str">
        <f t="shared" si="237"/>
        <v>无</v>
      </c>
      <c r="AE165" s="7" t="str">
        <f t="shared" si="237"/>
        <v>无</v>
      </c>
      <c r="AF165" s="7" t="str">
        <f t="shared" si="237"/>
        <v>无</v>
      </c>
      <c r="AG165" s="7" t="str">
        <f t="shared" si="237"/>
        <v>无</v>
      </c>
      <c r="AH165" s="7" t="str">
        <f t="shared" si="237"/>
        <v>无</v>
      </c>
      <c r="AI165" s="15">
        <v>1</v>
      </c>
      <c r="AJ165" s="15">
        <v>2</v>
      </c>
      <c r="AK165" s="15">
        <v>3</v>
      </c>
      <c r="AL165" s="15">
        <v>4</v>
      </c>
      <c r="AM165" s="15">
        <v>5</v>
      </c>
      <c r="AN165" s="15">
        <v>6</v>
      </c>
      <c r="AO165" s="15">
        <v>7</v>
      </c>
      <c r="AP165" s="15"/>
    </row>
    <row r="166" s="7" customFormat="1" hidden="1" spans="1:42">
      <c r="A166" s="15">
        <v>160023</v>
      </c>
      <c r="B166" s="15" t="s">
        <v>379</v>
      </c>
      <c r="C166" s="15" t="s">
        <v>379</v>
      </c>
      <c r="D166" s="17" t="s">
        <v>91</v>
      </c>
      <c r="E166" s="7">
        <v>2467</v>
      </c>
      <c r="F166" s="7">
        <v>-1</v>
      </c>
      <c r="G166" s="7">
        <v>0</v>
      </c>
      <c r="H166" s="7">
        <v>0</v>
      </c>
      <c r="I166" s="15" t="s">
        <v>43</v>
      </c>
      <c r="J166" s="7">
        <v>-1</v>
      </c>
      <c r="K166" s="7">
        <v>0</v>
      </c>
      <c r="L166" s="7">
        <v>0</v>
      </c>
      <c r="N166" s="24">
        <v>1</v>
      </c>
      <c r="O166" s="7">
        <v>1</v>
      </c>
      <c r="Q166" s="7" t="s">
        <v>149</v>
      </c>
      <c r="R166" s="7" t="s">
        <v>149</v>
      </c>
      <c r="S166" s="15">
        <v>20</v>
      </c>
      <c r="T166" s="7" t="str">
        <f t="shared" si="215"/>
        <v>灵动</v>
      </c>
      <c r="U166" s="7" t="str">
        <f t="shared" ref="U166:Z166" si="238">T166</f>
        <v>灵动</v>
      </c>
      <c r="V166" s="7" t="str">
        <f t="shared" si="238"/>
        <v>灵动</v>
      </c>
      <c r="W166" s="7" t="str">
        <f t="shared" si="238"/>
        <v>灵动</v>
      </c>
      <c r="X166" s="7" t="str">
        <f t="shared" si="238"/>
        <v>灵动</v>
      </c>
      <c r="Y166" s="7" t="str">
        <f t="shared" si="238"/>
        <v>灵动</v>
      </c>
      <c r="Z166" s="7" t="str">
        <f t="shared" si="238"/>
        <v>灵动</v>
      </c>
      <c r="AA166" s="7" t="s">
        <v>81</v>
      </c>
      <c r="AB166" s="7" t="str">
        <f t="shared" ref="AB166:AH166" si="239">AA166</f>
        <v>无</v>
      </c>
      <c r="AC166" s="7" t="str">
        <f t="shared" si="239"/>
        <v>无</v>
      </c>
      <c r="AD166" s="7" t="str">
        <f t="shared" si="239"/>
        <v>无</v>
      </c>
      <c r="AE166" s="7" t="str">
        <f t="shared" si="239"/>
        <v>无</v>
      </c>
      <c r="AF166" s="7" t="str">
        <f t="shared" si="239"/>
        <v>无</v>
      </c>
      <c r="AG166" s="7" t="str">
        <f t="shared" si="239"/>
        <v>无</v>
      </c>
      <c r="AH166" s="7" t="str">
        <f t="shared" si="239"/>
        <v>无</v>
      </c>
      <c r="AI166" s="15">
        <v>1</v>
      </c>
      <c r="AJ166" s="15">
        <v>2</v>
      </c>
      <c r="AK166" s="15">
        <v>3</v>
      </c>
      <c r="AL166" s="15">
        <v>4</v>
      </c>
      <c r="AM166" s="15">
        <v>5</v>
      </c>
      <c r="AN166" s="15">
        <v>6</v>
      </c>
      <c r="AO166" s="15">
        <v>7</v>
      </c>
      <c r="AP166" s="15"/>
    </row>
    <row r="167" s="7" customFormat="1" hidden="1" spans="1:42">
      <c r="A167" s="15">
        <v>160024</v>
      </c>
      <c r="B167" s="7" t="s">
        <v>380</v>
      </c>
      <c r="C167" s="7" t="s">
        <v>380</v>
      </c>
      <c r="D167" s="17" t="s">
        <v>103</v>
      </c>
      <c r="E167" s="7">
        <v>2468</v>
      </c>
      <c r="F167" s="7">
        <v>-1</v>
      </c>
      <c r="G167" s="7">
        <v>0</v>
      </c>
      <c r="H167" s="7">
        <v>0</v>
      </c>
      <c r="I167" s="15" t="s">
        <v>43</v>
      </c>
      <c r="J167" s="7">
        <v>-1</v>
      </c>
      <c r="K167" s="7">
        <v>0</v>
      </c>
      <c r="L167" s="7">
        <v>0</v>
      </c>
      <c r="N167" s="24">
        <v>1</v>
      </c>
      <c r="O167" s="7">
        <v>1</v>
      </c>
      <c r="Q167" s="7" t="s">
        <v>149</v>
      </c>
      <c r="R167" s="7" t="s">
        <v>149</v>
      </c>
      <c r="S167" s="15">
        <v>21</v>
      </c>
      <c r="T167" s="7" t="str">
        <f t="shared" si="215"/>
        <v>雨润</v>
      </c>
      <c r="U167" s="7" t="str">
        <f t="shared" ref="U167:Z167" si="240">T167</f>
        <v>雨润</v>
      </c>
      <c r="V167" s="7" t="str">
        <f t="shared" si="240"/>
        <v>雨润</v>
      </c>
      <c r="W167" s="7" t="str">
        <f t="shared" si="240"/>
        <v>雨润</v>
      </c>
      <c r="X167" s="7" t="str">
        <f t="shared" si="240"/>
        <v>雨润</v>
      </c>
      <c r="Y167" s="7" t="str">
        <f t="shared" si="240"/>
        <v>雨润</v>
      </c>
      <c r="Z167" s="7" t="str">
        <f t="shared" si="240"/>
        <v>雨润</v>
      </c>
      <c r="AA167" s="7" t="s">
        <v>81</v>
      </c>
      <c r="AB167" s="7" t="str">
        <f t="shared" ref="AB167:AH167" si="241">AA167</f>
        <v>无</v>
      </c>
      <c r="AC167" s="7" t="str">
        <f t="shared" si="241"/>
        <v>无</v>
      </c>
      <c r="AD167" s="7" t="str">
        <f t="shared" si="241"/>
        <v>无</v>
      </c>
      <c r="AE167" s="7" t="str">
        <f t="shared" si="241"/>
        <v>无</v>
      </c>
      <c r="AF167" s="7" t="str">
        <f t="shared" si="241"/>
        <v>无</v>
      </c>
      <c r="AG167" s="7" t="str">
        <f t="shared" si="241"/>
        <v>无</v>
      </c>
      <c r="AH167" s="7" t="str">
        <f t="shared" si="241"/>
        <v>无</v>
      </c>
      <c r="AI167" s="15">
        <v>1</v>
      </c>
      <c r="AJ167" s="15">
        <v>2</v>
      </c>
      <c r="AK167" s="15">
        <v>3</v>
      </c>
      <c r="AL167" s="15">
        <v>4</v>
      </c>
      <c r="AM167" s="15">
        <v>5</v>
      </c>
      <c r="AN167" s="15">
        <v>6</v>
      </c>
      <c r="AO167" s="15">
        <v>7</v>
      </c>
      <c r="AP167" s="15"/>
    </row>
    <row r="168" s="7" customFormat="1" hidden="1" spans="1:42">
      <c r="A168" s="15">
        <v>160025</v>
      </c>
      <c r="B168" s="15" t="s">
        <v>381</v>
      </c>
      <c r="C168" s="15" t="s">
        <v>381</v>
      </c>
      <c r="D168" s="17" t="s">
        <v>105</v>
      </c>
      <c r="E168" s="7">
        <v>2469</v>
      </c>
      <c r="F168" s="7">
        <v>-1</v>
      </c>
      <c r="G168" s="7">
        <v>0</v>
      </c>
      <c r="H168" s="7">
        <v>0</v>
      </c>
      <c r="I168" s="15" t="s">
        <v>370</v>
      </c>
      <c r="J168" s="7">
        <v>-1</v>
      </c>
      <c r="K168" s="7">
        <v>0</v>
      </c>
      <c r="L168" s="7">
        <v>0</v>
      </c>
      <c r="N168" s="24">
        <v>1</v>
      </c>
      <c r="O168" s="7">
        <v>1</v>
      </c>
      <c r="Q168" s="7" t="s">
        <v>149</v>
      </c>
      <c r="R168" s="7" t="s">
        <v>149</v>
      </c>
      <c r="S168" s="15">
        <v>22</v>
      </c>
      <c r="T168" s="7" t="str">
        <f t="shared" si="215"/>
        <v>波澜不惊</v>
      </c>
      <c r="U168" s="7" t="str">
        <f t="shared" ref="U168:Z168" si="242">T168</f>
        <v>波澜不惊</v>
      </c>
      <c r="V168" s="7" t="str">
        <f t="shared" si="242"/>
        <v>波澜不惊</v>
      </c>
      <c r="W168" s="7" t="str">
        <f t="shared" si="242"/>
        <v>波澜不惊</v>
      </c>
      <c r="X168" s="7" t="str">
        <f t="shared" si="242"/>
        <v>波澜不惊</v>
      </c>
      <c r="Y168" s="7" t="str">
        <f t="shared" si="242"/>
        <v>波澜不惊</v>
      </c>
      <c r="Z168" s="7" t="str">
        <f t="shared" si="242"/>
        <v>波澜不惊</v>
      </c>
      <c r="AA168" s="7" t="s">
        <v>81</v>
      </c>
      <c r="AB168" s="7" t="str">
        <f t="shared" ref="AB168:AH168" si="243">AA168</f>
        <v>无</v>
      </c>
      <c r="AC168" s="7" t="str">
        <f t="shared" si="243"/>
        <v>无</v>
      </c>
      <c r="AD168" s="7" t="str">
        <f t="shared" si="243"/>
        <v>无</v>
      </c>
      <c r="AE168" s="7" t="str">
        <f t="shared" si="243"/>
        <v>无</v>
      </c>
      <c r="AF168" s="7" t="str">
        <f t="shared" si="243"/>
        <v>无</v>
      </c>
      <c r="AG168" s="7" t="str">
        <f t="shared" si="243"/>
        <v>无</v>
      </c>
      <c r="AH168" s="7" t="str">
        <f t="shared" si="243"/>
        <v>无</v>
      </c>
      <c r="AI168" s="15">
        <v>1</v>
      </c>
      <c r="AJ168" s="15">
        <v>2</v>
      </c>
      <c r="AK168" s="15">
        <v>3</v>
      </c>
      <c r="AL168" s="15">
        <v>4</v>
      </c>
      <c r="AM168" s="15">
        <v>5</v>
      </c>
      <c r="AN168" s="15">
        <v>6</v>
      </c>
      <c r="AO168" s="15">
        <v>7</v>
      </c>
      <c r="AP168" s="15"/>
    </row>
    <row r="169" s="7" customFormat="1" hidden="1" spans="1:42">
      <c r="A169" s="15">
        <v>160026</v>
      </c>
      <c r="B169" s="15" t="s">
        <v>382</v>
      </c>
      <c r="C169" s="15" t="s">
        <v>382</v>
      </c>
      <c r="D169" s="16" t="s">
        <v>83</v>
      </c>
      <c r="E169" s="7">
        <v>2470</v>
      </c>
      <c r="F169" s="7">
        <v>-1</v>
      </c>
      <c r="G169" s="7">
        <v>0</v>
      </c>
      <c r="H169" s="7">
        <v>0</v>
      </c>
      <c r="I169" s="15" t="s">
        <v>43</v>
      </c>
      <c r="J169" s="7">
        <v>-1</v>
      </c>
      <c r="K169" s="7">
        <v>0</v>
      </c>
      <c r="L169" s="7">
        <v>0</v>
      </c>
      <c r="N169" s="24">
        <v>1</v>
      </c>
      <c r="O169" s="7">
        <v>1</v>
      </c>
      <c r="Q169" s="7" t="s">
        <v>149</v>
      </c>
      <c r="R169" s="7" t="s">
        <v>149</v>
      </c>
      <c r="S169" s="15">
        <v>23</v>
      </c>
      <c r="T169" s="7" t="str">
        <f t="shared" si="215"/>
        <v>普照</v>
      </c>
      <c r="U169" s="7" t="str">
        <f t="shared" ref="U169:Z169" si="244">T169</f>
        <v>普照</v>
      </c>
      <c r="V169" s="7" t="str">
        <f t="shared" si="244"/>
        <v>普照</v>
      </c>
      <c r="W169" s="7" t="str">
        <f t="shared" si="244"/>
        <v>普照</v>
      </c>
      <c r="X169" s="7" t="str">
        <f t="shared" si="244"/>
        <v>普照</v>
      </c>
      <c r="Y169" s="7" t="str">
        <f t="shared" si="244"/>
        <v>普照</v>
      </c>
      <c r="Z169" s="7" t="str">
        <f t="shared" si="244"/>
        <v>普照</v>
      </c>
      <c r="AA169" s="7" t="s">
        <v>81</v>
      </c>
      <c r="AB169" s="7" t="str">
        <f t="shared" ref="AB169:AH169" si="245">AA169</f>
        <v>无</v>
      </c>
      <c r="AC169" s="7" t="str">
        <f t="shared" si="245"/>
        <v>无</v>
      </c>
      <c r="AD169" s="7" t="str">
        <f t="shared" si="245"/>
        <v>无</v>
      </c>
      <c r="AE169" s="7" t="str">
        <f t="shared" si="245"/>
        <v>无</v>
      </c>
      <c r="AF169" s="7" t="str">
        <f t="shared" si="245"/>
        <v>无</v>
      </c>
      <c r="AG169" s="7" t="str">
        <f t="shared" si="245"/>
        <v>无</v>
      </c>
      <c r="AH169" s="7" t="str">
        <f t="shared" si="245"/>
        <v>无</v>
      </c>
      <c r="AI169" s="15">
        <v>1</v>
      </c>
      <c r="AJ169" s="15">
        <v>2</v>
      </c>
      <c r="AK169" s="15">
        <v>3</v>
      </c>
      <c r="AL169" s="15">
        <v>4</v>
      </c>
      <c r="AM169" s="15">
        <v>5</v>
      </c>
      <c r="AN169" s="15">
        <v>6</v>
      </c>
      <c r="AO169" s="15">
        <v>7</v>
      </c>
      <c r="AP169" s="15"/>
    </row>
    <row r="170" s="7" customFormat="1" hidden="1" spans="1:42">
      <c r="A170" s="15">
        <v>160027</v>
      </c>
      <c r="B170" s="15" t="s">
        <v>383</v>
      </c>
      <c r="C170" s="15" t="s">
        <v>383</v>
      </c>
      <c r="D170" s="17" t="s">
        <v>95</v>
      </c>
      <c r="E170" s="7">
        <v>2471</v>
      </c>
      <c r="F170" s="7">
        <v>-1</v>
      </c>
      <c r="G170" s="7">
        <v>0</v>
      </c>
      <c r="H170" s="7">
        <v>0</v>
      </c>
      <c r="I170" s="15" t="s">
        <v>43</v>
      </c>
      <c r="J170" s="7">
        <v>-1</v>
      </c>
      <c r="K170" s="7">
        <v>0</v>
      </c>
      <c r="L170" s="7">
        <v>0</v>
      </c>
      <c r="N170" s="24">
        <v>1</v>
      </c>
      <c r="O170" s="7">
        <v>1</v>
      </c>
      <c r="Q170" s="7" t="s">
        <v>149</v>
      </c>
      <c r="R170" s="7" t="s">
        <v>149</v>
      </c>
      <c r="S170" s="15">
        <v>24</v>
      </c>
      <c r="T170" s="7" t="str">
        <f t="shared" si="215"/>
        <v>慈佑</v>
      </c>
      <c r="U170" s="7" t="str">
        <f t="shared" ref="U170:Z170" si="246">T170</f>
        <v>慈佑</v>
      </c>
      <c r="V170" s="7" t="str">
        <f t="shared" si="246"/>
        <v>慈佑</v>
      </c>
      <c r="W170" s="7" t="str">
        <f t="shared" si="246"/>
        <v>慈佑</v>
      </c>
      <c r="X170" s="7" t="str">
        <f t="shared" si="246"/>
        <v>慈佑</v>
      </c>
      <c r="Y170" s="7" t="str">
        <f t="shared" si="246"/>
        <v>慈佑</v>
      </c>
      <c r="Z170" s="7" t="str">
        <f t="shared" si="246"/>
        <v>慈佑</v>
      </c>
      <c r="AA170" s="7" t="s">
        <v>81</v>
      </c>
      <c r="AB170" s="7" t="str">
        <f t="shared" ref="AB170:AH170" si="247">AA170</f>
        <v>无</v>
      </c>
      <c r="AC170" s="7" t="str">
        <f t="shared" si="247"/>
        <v>无</v>
      </c>
      <c r="AD170" s="7" t="str">
        <f t="shared" si="247"/>
        <v>无</v>
      </c>
      <c r="AE170" s="7" t="str">
        <f t="shared" si="247"/>
        <v>无</v>
      </c>
      <c r="AF170" s="7" t="str">
        <f t="shared" si="247"/>
        <v>无</v>
      </c>
      <c r="AG170" s="7" t="str">
        <f t="shared" si="247"/>
        <v>无</v>
      </c>
      <c r="AH170" s="7" t="str">
        <f t="shared" si="247"/>
        <v>无</v>
      </c>
      <c r="AI170" s="15">
        <v>1</v>
      </c>
      <c r="AJ170" s="15">
        <v>2</v>
      </c>
      <c r="AK170" s="15">
        <v>3</v>
      </c>
      <c r="AL170" s="15">
        <v>4</v>
      </c>
      <c r="AM170" s="15">
        <v>5</v>
      </c>
      <c r="AN170" s="15">
        <v>6</v>
      </c>
      <c r="AO170" s="15">
        <v>7</v>
      </c>
      <c r="AP170" s="15"/>
    </row>
    <row r="171" s="7" customFormat="1" hidden="1" spans="1:42">
      <c r="A171" s="15">
        <v>160028</v>
      </c>
      <c r="B171" s="15" t="s">
        <v>384</v>
      </c>
      <c r="C171" s="15" t="s">
        <v>384</v>
      </c>
      <c r="D171" s="16" t="s">
        <v>97</v>
      </c>
      <c r="E171" s="7">
        <v>2472</v>
      </c>
      <c r="F171" s="7">
        <v>-1</v>
      </c>
      <c r="G171" s="7">
        <v>0</v>
      </c>
      <c r="H171" s="7">
        <v>0</v>
      </c>
      <c r="I171" s="15" t="s">
        <v>43</v>
      </c>
      <c r="J171" s="7">
        <v>-1</v>
      </c>
      <c r="K171" s="7">
        <v>0</v>
      </c>
      <c r="L171" s="7">
        <v>0</v>
      </c>
      <c r="N171" s="24">
        <v>1</v>
      </c>
      <c r="O171" s="7">
        <v>1</v>
      </c>
      <c r="Q171" s="7" t="s">
        <v>149</v>
      </c>
      <c r="R171" s="7" t="s">
        <v>149</v>
      </c>
      <c r="S171" s="15">
        <v>25</v>
      </c>
      <c r="T171" s="7" t="str">
        <f t="shared" si="215"/>
        <v>度厄</v>
      </c>
      <c r="U171" s="7" t="str">
        <f t="shared" ref="U171:Z171" si="248">T171</f>
        <v>度厄</v>
      </c>
      <c r="V171" s="7" t="str">
        <f t="shared" si="248"/>
        <v>度厄</v>
      </c>
      <c r="W171" s="7" t="str">
        <f t="shared" si="248"/>
        <v>度厄</v>
      </c>
      <c r="X171" s="7" t="str">
        <f t="shared" si="248"/>
        <v>度厄</v>
      </c>
      <c r="Y171" s="7" t="str">
        <f t="shared" si="248"/>
        <v>度厄</v>
      </c>
      <c r="Z171" s="7" t="str">
        <f t="shared" si="248"/>
        <v>度厄</v>
      </c>
      <c r="AA171" s="7" t="s">
        <v>81</v>
      </c>
      <c r="AB171" s="7" t="str">
        <f t="shared" ref="AB171:AH171" si="249">AA171</f>
        <v>无</v>
      </c>
      <c r="AC171" s="7" t="str">
        <f t="shared" si="249"/>
        <v>无</v>
      </c>
      <c r="AD171" s="7" t="str">
        <f t="shared" si="249"/>
        <v>无</v>
      </c>
      <c r="AE171" s="7" t="str">
        <f t="shared" si="249"/>
        <v>无</v>
      </c>
      <c r="AF171" s="7" t="str">
        <f t="shared" si="249"/>
        <v>无</v>
      </c>
      <c r="AG171" s="7" t="str">
        <f t="shared" si="249"/>
        <v>无</v>
      </c>
      <c r="AH171" s="7" t="str">
        <f t="shared" si="249"/>
        <v>无</v>
      </c>
      <c r="AI171" s="15">
        <v>1</v>
      </c>
      <c r="AJ171" s="15">
        <v>2</v>
      </c>
      <c r="AK171" s="15">
        <v>3</v>
      </c>
      <c r="AL171" s="15">
        <v>4</v>
      </c>
      <c r="AM171" s="15">
        <v>5</v>
      </c>
      <c r="AN171" s="15">
        <v>6</v>
      </c>
      <c r="AO171" s="15">
        <v>7</v>
      </c>
      <c r="AP171" s="15"/>
    </row>
    <row r="172" s="7" customFormat="1" hidden="1" spans="1:42">
      <c r="A172" s="15">
        <v>160029</v>
      </c>
      <c r="B172" s="15" t="s">
        <v>385</v>
      </c>
      <c r="C172" s="15" t="s">
        <v>385</v>
      </c>
      <c r="D172" s="17" t="s">
        <v>89</v>
      </c>
      <c r="E172" s="7">
        <v>2473</v>
      </c>
      <c r="F172" s="7">
        <v>-1</v>
      </c>
      <c r="G172" s="7">
        <v>0</v>
      </c>
      <c r="H172" s="7">
        <v>0</v>
      </c>
      <c r="I172" s="15" t="s">
        <v>43</v>
      </c>
      <c r="J172" s="7">
        <v>-1</v>
      </c>
      <c r="K172" s="7">
        <v>0</v>
      </c>
      <c r="L172" s="7">
        <v>0</v>
      </c>
      <c r="N172" s="24">
        <v>1</v>
      </c>
      <c r="O172" s="7">
        <v>1</v>
      </c>
      <c r="Q172" s="7" t="s">
        <v>149</v>
      </c>
      <c r="R172" s="7" t="s">
        <v>149</v>
      </c>
      <c r="S172" s="15">
        <v>26</v>
      </c>
      <c r="T172" s="7" t="str">
        <f t="shared" si="215"/>
        <v>莲动</v>
      </c>
      <c r="U172" s="7" t="str">
        <f t="shared" ref="U172:Z172" si="250">T172</f>
        <v>莲动</v>
      </c>
      <c r="V172" s="7" t="str">
        <f t="shared" si="250"/>
        <v>莲动</v>
      </c>
      <c r="W172" s="7" t="str">
        <f t="shared" si="250"/>
        <v>莲动</v>
      </c>
      <c r="X172" s="7" t="str">
        <f t="shared" si="250"/>
        <v>莲动</v>
      </c>
      <c r="Y172" s="7" t="str">
        <f t="shared" si="250"/>
        <v>莲动</v>
      </c>
      <c r="Z172" s="7" t="str">
        <f t="shared" si="250"/>
        <v>莲动</v>
      </c>
      <c r="AA172" s="7" t="s">
        <v>81</v>
      </c>
      <c r="AB172" s="7" t="str">
        <f t="shared" ref="AB172:AH172" si="251">AA172</f>
        <v>无</v>
      </c>
      <c r="AC172" s="7" t="str">
        <f t="shared" si="251"/>
        <v>无</v>
      </c>
      <c r="AD172" s="7" t="str">
        <f t="shared" si="251"/>
        <v>无</v>
      </c>
      <c r="AE172" s="7" t="str">
        <f t="shared" si="251"/>
        <v>无</v>
      </c>
      <c r="AF172" s="7" t="str">
        <f t="shared" si="251"/>
        <v>无</v>
      </c>
      <c r="AG172" s="7" t="str">
        <f t="shared" si="251"/>
        <v>无</v>
      </c>
      <c r="AH172" s="7" t="str">
        <f t="shared" si="251"/>
        <v>无</v>
      </c>
      <c r="AI172" s="15">
        <v>1</v>
      </c>
      <c r="AJ172" s="15">
        <v>2</v>
      </c>
      <c r="AK172" s="15">
        <v>3</v>
      </c>
      <c r="AL172" s="15">
        <v>4</v>
      </c>
      <c r="AM172" s="15">
        <v>5</v>
      </c>
      <c r="AN172" s="15">
        <v>6</v>
      </c>
      <c r="AO172" s="15">
        <v>7</v>
      </c>
      <c r="AP172" s="15"/>
    </row>
    <row r="173" s="7" customFormat="1" hidden="1" spans="1:42">
      <c r="A173" s="15">
        <v>160030</v>
      </c>
      <c r="B173" s="15" t="s">
        <v>386</v>
      </c>
      <c r="C173" s="15" t="s">
        <v>386</v>
      </c>
      <c r="D173" s="17" t="s">
        <v>103</v>
      </c>
      <c r="E173" s="7">
        <v>2474</v>
      </c>
      <c r="F173" s="7">
        <v>-1</v>
      </c>
      <c r="G173" s="7">
        <v>0</v>
      </c>
      <c r="H173" s="7">
        <v>0</v>
      </c>
      <c r="I173" s="15" t="s">
        <v>43</v>
      </c>
      <c r="J173" s="7">
        <v>-1</v>
      </c>
      <c r="K173" s="7">
        <v>0</v>
      </c>
      <c r="L173" s="7">
        <v>0</v>
      </c>
      <c r="N173" s="24">
        <v>1</v>
      </c>
      <c r="O173" s="7">
        <v>1</v>
      </c>
      <c r="Q173" s="7" t="s">
        <v>149</v>
      </c>
      <c r="R173" s="7" t="s">
        <v>149</v>
      </c>
      <c r="S173" s="15">
        <v>27</v>
      </c>
      <c r="T173" s="7" t="str">
        <f t="shared" si="215"/>
        <v>感念</v>
      </c>
      <c r="U173" s="7" t="str">
        <f t="shared" ref="U173:Z173" si="252">T173</f>
        <v>感念</v>
      </c>
      <c r="V173" s="7" t="str">
        <f t="shared" si="252"/>
        <v>感念</v>
      </c>
      <c r="W173" s="7" t="str">
        <f t="shared" si="252"/>
        <v>感念</v>
      </c>
      <c r="X173" s="7" t="str">
        <f t="shared" si="252"/>
        <v>感念</v>
      </c>
      <c r="Y173" s="7" t="str">
        <f t="shared" si="252"/>
        <v>感念</v>
      </c>
      <c r="Z173" s="7" t="str">
        <f t="shared" si="252"/>
        <v>感念</v>
      </c>
      <c r="AA173" s="7" t="s">
        <v>81</v>
      </c>
      <c r="AB173" s="7" t="str">
        <f t="shared" ref="AB173:AH173" si="253">AA173</f>
        <v>无</v>
      </c>
      <c r="AC173" s="7" t="str">
        <f t="shared" si="253"/>
        <v>无</v>
      </c>
      <c r="AD173" s="7" t="str">
        <f t="shared" si="253"/>
        <v>无</v>
      </c>
      <c r="AE173" s="7" t="str">
        <f t="shared" si="253"/>
        <v>无</v>
      </c>
      <c r="AF173" s="7" t="str">
        <f t="shared" si="253"/>
        <v>无</v>
      </c>
      <c r="AG173" s="7" t="str">
        <f t="shared" si="253"/>
        <v>无</v>
      </c>
      <c r="AH173" s="7" t="str">
        <f t="shared" si="253"/>
        <v>无</v>
      </c>
      <c r="AI173" s="15">
        <v>1</v>
      </c>
      <c r="AJ173" s="15">
        <v>2</v>
      </c>
      <c r="AK173" s="15">
        <v>3</v>
      </c>
      <c r="AL173" s="15">
        <v>4</v>
      </c>
      <c r="AM173" s="15">
        <v>5</v>
      </c>
      <c r="AN173" s="15">
        <v>6</v>
      </c>
      <c r="AO173" s="15">
        <v>7</v>
      </c>
      <c r="AP173" s="15"/>
    </row>
    <row r="174" s="7" customFormat="1" hidden="1" spans="1:42">
      <c r="A174" s="15">
        <v>160031</v>
      </c>
      <c r="B174" s="15" t="s">
        <v>387</v>
      </c>
      <c r="C174" s="15" t="s">
        <v>387</v>
      </c>
      <c r="D174" s="17" t="s">
        <v>95</v>
      </c>
      <c r="E174" s="7">
        <v>2475</v>
      </c>
      <c r="F174" s="7">
        <v>-1</v>
      </c>
      <c r="G174" s="7">
        <v>0</v>
      </c>
      <c r="H174" s="7">
        <v>0</v>
      </c>
      <c r="I174" s="15" t="s">
        <v>43</v>
      </c>
      <c r="J174" s="7">
        <v>-1</v>
      </c>
      <c r="K174" s="7">
        <v>0</v>
      </c>
      <c r="L174" s="7">
        <v>0</v>
      </c>
      <c r="N174" s="24">
        <v>1</v>
      </c>
      <c r="O174" s="7">
        <v>1</v>
      </c>
      <c r="Q174" s="7" t="s">
        <v>149</v>
      </c>
      <c r="R174" s="7" t="s">
        <v>149</v>
      </c>
      <c r="S174" s="15">
        <v>28</v>
      </c>
      <c r="T174" s="7" t="str">
        <f t="shared" si="215"/>
        <v>道衍</v>
      </c>
      <c r="U174" s="7" t="str">
        <f t="shared" ref="U174:Z174" si="254">T174</f>
        <v>道衍</v>
      </c>
      <c r="V174" s="7" t="str">
        <f t="shared" si="254"/>
        <v>道衍</v>
      </c>
      <c r="W174" s="7" t="str">
        <f t="shared" si="254"/>
        <v>道衍</v>
      </c>
      <c r="X174" s="7" t="str">
        <f t="shared" si="254"/>
        <v>道衍</v>
      </c>
      <c r="Y174" s="7" t="str">
        <f t="shared" si="254"/>
        <v>道衍</v>
      </c>
      <c r="Z174" s="7" t="str">
        <f t="shared" si="254"/>
        <v>道衍</v>
      </c>
      <c r="AA174" s="7" t="s">
        <v>81</v>
      </c>
      <c r="AB174" s="7" t="str">
        <f t="shared" ref="AB174:AH174" si="255">AA174</f>
        <v>无</v>
      </c>
      <c r="AC174" s="7" t="str">
        <f t="shared" si="255"/>
        <v>无</v>
      </c>
      <c r="AD174" s="7" t="str">
        <f t="shared" si="255"/>
        <v>无</v>
      </c>
      <c r="AE174" s="7" t="str">
        <f t="shared" si="255"/>
        <v>无</v>
      </c>
      <c r="AF174" s="7" t="str">
        <f t="shared" si="255"/>
        <v>无</v>
      </c>
      <c r="AG174" s="7" t="str">
        <f t="shared" si="255"/>
        <v>无</v>
      </c>
      <c r="AH174" s="7" t="str">
        <f t="shared" si="255"/>
        <v>无</v>
      </c>
      <c r="AI174" s="15">
        <v>1</v>
      </c>
      <c r="AJ174" s="15">
        <v>2</v>
      </c>
      <c r="AK174" s="15">
        <v>3</v>
      </c>
      <c r="AL174" s="15">
        <v>4</v>
      </c>
      <c r="AM174" s="15">
        <v>5</v>
      </c>
      <c r="AN174" s="15">
        <v>6</v>
      </c>
      <c r="AO174" s="15">
        <v>7</v>
      </c>
      <c r="AP174" s="15"/>
    </row>
    <row r="175" s="7" customFormat="1" hidden="1" spans="1:42">
      <c r="A175" s="15">
        <v>160032</v>
      </c>
      <c r="B175" s="15" t="s">
        <v>388</v>
      </c>
      <c r="C175" s="15" t="s">
        <v>388</v>
      </c>
      <c r="D175" s="20" t="s">
        <v>113</v>
      </c>
      <c r="E175" s="7">
        <v>2380</v>
      </c>
      <c r="F175" s="7">
        <v>-1</v>
      </c>
      <c r="G175" s="7">
        <v>0</v>
      </c>
      <c r="H175" s="7">
        <v>0</v>
      </c>
      <c r="I175" s="15" t="s">
        <v>43</v>
      </c>
      <c r="J175" s="7">
        <v>-1</v>
      </c>
      <c r="K175" s="7">
        <v>0</v>
      </c>
      <c r="L175" s="7">
        <v>0</v>
      </c>
      <c r="N175" s="24">
        <v>1</v>
      </c>
      <c r="O175" s="7">
        <v>1</v>
      </c>
      <c r="Q175" s="7" t="s">
        <v>149</v>
      </c>
      <c r="R175" s="7" t="s">
        <v>149</v>
      </c>
      <c r="S175" s="15">
        <v>29</v>
      </c>
      <c r="T175" s="7" t="str">
        <f t="shared" si="215"/>
        <v>莲台仙子</v>
      </c>
      <c r="U175" s="7" t="str">
        <f t="shared" ref="U175:Z175" si="256">T175</f>
        <v>莲台仙子</v>
      </c>
      <c r="V175" s="7" t="str">
        <f t="shared" si="256"/>
        <v>莲台仙子</v>
      </c>
      <c r="W175" s="7" t="str">
        <f t="shared" si="256"/>
        <v>莲台仙子</v>
      </c>
      <c r="X175" s="7" t="str">
        <f t="shared" si="256"/>
        <v>莲台仙子</v>
      </c>
      <c r="Y175" s="7" t="str">
        <f t="shared" si="256"/>
        <v>莲台仙子</v>
      </c>
      <c r="Z175" s="7" t="str">
        <f t="shared" si="256"/>
        <v>莲台仙子</v>
      </c>
      <c r="AA175" s="7" t="s">
        <v>81</v>
      </c>
      <c r="AB175" s="7" t="str">
        <f t="shared" ref="AB175:AH175" si="257">AA175</f>
        <v>无</v>
      </c>
      <c r="AC175" s="7" t="str">
        <f t="shared" si="257"/>
        <v>无</v>
      </c>
      <c r="AD175" s="7" t="str">
        <f t="shared" si="257"/>
        <v>无</v>
      </c>
      <c r="AE175" s="7" t="str">
        <f t="shared" si="257"/>
        <v>无</v>
      </c>
      <c r="AF175" s="7" t="str">
        <f t="shared" si="257"/>
        <v>无</v>
      </c>
      <c r="AG175" s="7" t="str">
        <f t="shared" si="257"/>
        <v>无</v>
      </c>
      <c r="AH175" s="7" t="str">
        <f t="shared" si="257"/>
        <v>无</v>
      </c>
      <c r="AI175" s="15">
        <v>1</v>
      </c>
      <c r="AJ175" s="15">
        <v>2</v>
      </c>
      <c r="AK175" s="15">
        <v>3</v>
      </c>
      <c r="AL175" s="15">
        <v>4</v>
      </c>
      <c r="AM175" s="15">
        <v>5</v>
      </c>
      <c r="AN175" s="15">
        <v>6</v>
      </c>
      <c r="AO175" s="15">
        <v>7</v>
      </c>
      <c r="AP175" s="15"/>
    </row>
    <row r="176" s="1" customFormat="1" spans="1:42">
      <c r="A176" s="2">
        <v>161000</v>
      </c>
      <c r="B176" s="3" t="s">
        <v>389</v>
      </c>
      <c r="C176" s="3" t="s">
        <v>389</v>
      </c>
      <c r="D176" s="4" t="s">
        <v>390</v>
      </c>
      <c r="E176" s="1">
        <v>65</v>
      </c>
      <c r="F176" s="1">
        <v>-1</v>
      </c>
      <c r="G176" s="1">
        <v>0</v>
      </c>
      <c r="H176" s="1">
        <v>0</v>
      </c>
      <c r="I176" s="5" t="s">
        <v>43</v>
      </c>
      <c r="J176" s="1">
        <v>-1</v>
      </c>
      <c r="K176" s="1">
        <v>0</v>
      </c>
      <c r="L176" s="1">
        <v>0</v>
      </c>
      <c r="N176" s="6">
        <v>1</v>
      </c>
      <c r="O176" s="1">
        <v>1</v>
      </c>
      <c r="Q176" s="4" t="s">
        <v>390</v>
      </c>
      <c r="R176" s="4" t="s">
        <v>391</v>
      </c>
      <c r="S176" s="5">
        <v>1</v>
      </c>
      <c r="T176" s="4" t="s">
        <v>391</v>
      </c>
      <c r="U176" s="4" t="s">
        <v>391</v>
      </c>
      <c r="V176" s="4" t="s">
        <v>391</v>
      </c>
      <c r="W176" s="4" t="s">
        <v>391</v>
      </c>
      <c r="X176" s="4" t="s">
        <v>391</v>
      </c>
      <c r="Y176" s="4" t="s">
        <v>391</v>
      </c>
      <c r="Z176" s="4" t="s">
        <v>391</v>
      </c>
      <c r="AA176" s="4" t="s">
        <v>282</v>
      </c>
      <c r="AB176" s="4" t="s">
        <v>282</v>
      </c>
      <c r="AC176" s="4" t="s">
        <v>282</v>
      </c>
      <c r="AD176" s="4" t="s">
        <v>282</v>
      </c>
      <c r="AE176" s="4" t="s">
        <v>282</v>
      </c>
      <c r="AF176" s="4" t="s">
        <v>282</v>
      </c>
      <c r="AG176" s="4" t="s">
        <v>282</v>
      </c>
      <c r="AH176" s="4" t="s">
        <v>282</v>
      </c>
      <c r="AI176" s="1">
        <v>1</v>
      </c>
      <c r="AJ176" s="1">
        <v>200</v>
      </c>
      <c r="AK176" s="1">
        <v>200</v>
      </c>
      <c r="AL176" s="1">
        <v>200</v>
      </c>
      <c r="AM176" s="1">
        <v>200</v>
      </c>
      <c r="AN176" s="1">
        <v>200</v>
      </c>
      <c r="AO176" s="1">
        <v>200</v>
      </c>
      <c r="AP176" s="5"/>
    </row>
    <row r="177" s="1" customFormat="1" spans="1:42">
      <c r="A177" s="2">
        <v>161001</v>
      </c>
      <c r="B177" s="3" t="s">
        <v>392</v>
      </c>
      <c r="C177" s="3" t="s">
        <v>392</v>
      </c>
      <c r="D177" s="4" t="s">
        <v>393</v>
      </c>
      <c r="E177" s="1">
        <v>66</v>
      </c>
      <c r="F177" s="1">
        <v>100</v>
      </c>
      <c r="G177" s="1">
        <v>2.4</v>
      </c>
      <c r="H177" s="1">
        <v>10</v>
      </c>
      <c r="I177" s="5" t="s">
        <v>49</v>
      </c>
      <c r="J177" s="1">
        <v>-1</v>
      </c>
      <c r="K177" s="1">
        <v>0</v>
      </c>
      <c r="L177" s="1">
        <v>0</v>
      </c>
      <c r="N177" s="6">
        <v>480</v>
      </c>
      <c r="O177" s="1">
        <v>1</v>
      </c>
      <c r="Q177" s="4" t="s">
        <v>393</v>
      </c>
      <c r="R177" s="4" t="s">
        <v>394</v>
      </c>
      <c r="S177" s="5">
        <v>2</v>
      </c>
      <c r="T177" s="4" t="s">
        <v>395</v>
      </c>
      <c r="U177" s="4" t="s">
        <v>395</v>
      </c>
      <c r="V177" s="4" t="s">
        <v>395</v>
      </c>
      <c r="W177" s="4" t="s">
        <v>394</v>
      </c>
      <c r="X177" s="4" t="s">
        <v>394</v>
      </c>
      <c r="Y177" s="4" t="s">
        <v>394</v>
      </c>
      <c r="Z177" s="4" t="s">
        <v>394</v>
      </c>
      <c r="AA177" s="4" t="s">
        <v>183</v>
      </c>
      <c r="AB177" s="4" t="s">
        <v>183</v>
      </c>
      <c r="AC177" s="4" t="s">
        <v>183</v>
      </c>
      <c r="AD177" s="4" t="s">
        <v>396</v>
      </c>
      <c r="AE177" s="4" t="s">
        <v>183</v>
      </c>
      <c r="AF177" s="4" t="s">
        <v>183</v>
      </c>
      <c r="AG177" s="4" t="s">
        <v>183</v>
      </c>
      <c r="AH177" s="4" t="s">
        <v>183</v>
      </c>
      <c r="AI177" s="1">
        <v>1</v>
      </c>
      <c r="AJ177" s="1">
        <v>60</v>
      </c>
      <c r="AK177" s="1">
        <v>70</v>
      </c>
      <c r="AL177" s="1">
        <v>90</v>
      </c>
      <c r="AM177" s="1">
        <v>200</v>
      </c>
      <c r="AN177" s="1">
        <v>200</v>
      </c>
      <c r="AO177" s="1">
        <v>200</v>
      </c>
      <c r="AP177" s="5"/>
    </row>
    <row r="178" s="1" customFormat="1" spans="1:42">
      <c r="A178" s="2">
        <v>161002</v>
      </c>
      <c r="B178" s="3" t="s">
        <v>397</v>
      </c>
      <c r="C178" s="3" t="s">
        <v>397</v>
      </c>
      <c r="D178" s="4" t="s">
        <v>398</v>
      </c>
      <c r="E178" s="1">
        <v>67</v>
      </c>
      <c r="F178" s="1">
        <v>100</v>
      </c>
      <c r="G178" s="1">
        <v>2.4</v>
      </c>
      <c r="H178" s="1">
        <v>10</v>
      </c>
      <c r="I178" s="5" t="s">
        <v>49</v>
      </c>
      <c r="J178" s="1">
        <v>-1</v>
      </c>
      <c r="K178" s="1">
        <v>0</v>
      </c>
      <c r="L178" s="1">
        <v>0</v>
      </c>
      <c r="N178" s="6">
        <v>480</v>
      </c>
      <c r="O178" s="1">
        <v>1</v>
      </c>
      <c r="Q178" s="4" t="s">
        <v>398</v>
      </c>
      <c r="R178" s="4" t="s">
        <v>399</v>
      </c>
      <c r="S178" s="5">
        <v>3</v>
      </c>
      <c r="T178" s="4" t="s">
        <v>399</v>
      </c>
      <c r="U178" s="4" t="s">
        <v>399</v>
      </c>
      <c r="V178" s="4" t="s">
        <v>399</v>
      </c>
      <c r="W178" s="4" t="s">
        <v>399</v>
      </c>
      <c r="X178" s="4" t="s">
        <v>399</v>
      </c>
      <c r="Y178" s="4" t="s">
        <v>399</v>
      </c>
      <c r="Z178" s="4" t="s">
        <v>399</v>
      </c>
      <c r="AA178" s="4" t="s">
        <v>400</v>
      </c>
      <c r="AB178" s="4" t="s">
        <v>183</v>
      </c>
      <c r="AC178" s="4" t="s">
        <v>183</v>
      </c>
      <c r="AD178" s="4" t="s">
        <v>183</v>
      </c>
      <c r="AE178" s="4" t="s">
        <v>183</v>
      </c>
      <c r="AF178" s="4" t="s">
        <v>183</v>
      </c>
      <c r="AG178" s="4" t="s">
        <v>183</v>
      </c>
      <c r="AH178" s="4" t="s">
        <v>183</v>
      </c>
      <c r="AI178" s="1">
        <v>1</v>
      </c>
      <c r="AJ178" s="1">
        <v>200</v>
      </c>
      <c r="AK178" s="1">
        <v>200</v>
      </c>
      <c r="AL178" s="1">
        <v>200</v>
      </c>
      <c r="AM178" s="1">
        <v>200</v>
      </c>
      <c r="AN178" s="1">
        <v>200</v>
      </c>
      <c r="AO178" s="1">
        <v>200</v>
      </c>
      <c r="AP178" s="5"/>
    </row>
    <row r="179" s="1" customFormat="1" spans="1:42">
      <c r="A179" s="2">
        <v>161003</v>
      </c>
      <c r="B179" s="3" t="s">
        <v>401</v>
      </c>
      <c r="C179" s="3" t="s">
        <v>401</v>
      </c>
      <c r="D179" s="4" t="s">
        <v>402</v>
      </c>
      <c r="E179" s="1">
        <v>68</v>
      </c>
      <c r="F179" s="1">
        <v>100</v>
      </c>
      <c r="G179" s="1">
        <v>2.4</v>
      </c>
      <c r="H179" s="1">
        <v>10</v>
      </c>
      <c r="I179" s="5" t="s">
        <v>49</v>
      </c>
      <c r="J179" s="1">
        <v>-1</v>
      </c>
      <c r="K179" s="1">
        <v>0</v>
      </c>
      <c r="L179" s="1">
        <v>0</v>
      </c>
      <c r="N179" s="6">
        <v>1</v>
      </c>
      <c r="O179" s="1">
        <v>1</v>
      </c>
      <c r="Q179" s="4" t="s">
        <v>402</v>
      </c>
      <c r="R179" s="4" t="s">
        <v>403</v>
      </c>
      <c r="S179" s="5">
        <v>4</v>
      </c>
      <c r="T179" s="4" t="s">
        <v>403</v>
      </c>
      <c r="U179" s="4" t="s">
        <v>403</v>
      </c>
      <c r="V179" s="4" t="s">
        <v>403</v>
      </c>
      <c r="W179" s="4" t="s">
        <v>403</v>
      </c>
      <c r="X179" s="4" t="s">
        <v>403</v>
      </c>
      <c r="Y179" s="4" t="s">
        <v>403</v>
      </c>
      <c r="Z179" s="4" t="s">
        <v>403</v>
      </c>
      <c r="AA179" s="4" t="s">
        <v>404</v>
      </c>
      <c r="AB179" s="4" t="s">
        <v>405</v>
      </c>
      <c r="AC179" s="4" t="s">
        <v>405</v>
      </c>
      <c r="AD179" s="4" t="s">
        <v>405</v>
      </c>
      <c r="AE179" s="4" t="s">
        <v>405</v>
      </c>
      <c r="AF179" s="4" t="s">
        <v>405</v>
      </c>
      <c r="AG179" s="4" t="s">
        <v>405</v>
      </c>
      <c r="AH179" s="4" t="s">
        <v>405</v>
      </c>
      <c r="AI179" s="1">
        <v>1</v>
      </c>
      <c r="AJ179" s="1">
        <v>60</v>
      </c>
      <c r="AK179" s="1">
        <v>90</v>
      </c>
      <c r="AL179" s="1">
        <v>200</v>
      </c>
      <c r="AM179" s="1">
        <v>200</v>
      </c>
      <c r="AN179" s="1">
        <v>200</v>
      </c>
      <c r="AO179" s="1">
        <v>200</v>
      </c>
      <c r="AP179" s="5"/>
    </row>
    <row r="180" s="1" customFormat="1" spans="1:42">
      <c r="A180" s="2">
        <v>161004</v>
      </c>
      <c r="B180" s="3" t="s">
        <v>406</v>
      </c>
      <c r="C180" s="3" t="s">
        <v>406</v>
      </c>
      <c r="D180" s="4" t="s">
        <v>407</v>
      </c>
      <c r="E180" s="1">
        <v>69</v>
      </c>
      <c r="F180" s="1">
        <v>100</v>
      </c>
      <c r="G180" s="1">
        <v>2.4</v>
      </c>
      <c r="H180" s="1">
        <v>10</v>
      </c>
      <c r="I180" s="5" t="s">
        <v>49</v>
      </c>
      <c r="J180" s="1">
        <v>-1</v>
      </c>
      <c r="K180" s="1">
        <v>0</v>
      </c>
      <c r="L180" s="1">
        <v>0</v>
      </c>
      <c r="N180" s="6">
        <v>480</v>
      </c>
      <c r="O180" s="1">
        <v>1</v>
      </c>
      <c r="Q180" s="4" t="s">
        <v>407</v>
      </c>
      <c r="R180" s="4" t="s">
        <v>408</v>
      </c>
      <c r="S180" s="5">
        <v>5</v>
      </c>
      <c r="T180" s="4" t="s">
        <v>408</v>
      </c>
      <c r="U180" s="4" t="s">
        <v>408</v>
      </c>
      <c r="V180" s="4" t="s">
        <v>408</v>
      </c>
      <c r="W180" s="4" t="s">
        <v>408</v>
      </c>
      <c r="X180" s="4" t="s">
        <v>408</v>
      </c>
      <c r="Y180" s="4" t="s">
        <v>408</v>
      </c>
      <c r="Z180" s="4" t="s">
        <v>408</v>
      </c>
      <c r="AA180" s="4" t="s">
        <v>191</v>
      </c>
      <c r="AB180" s="4" t="s">
        <v>191</v>
      </c>
      <c r="AC180" s="4" t="s">
        <v>191</v>
      </c>
      <c r="AD180" s="4" t="s">
        <v>191</v>
      </c>
      <c r="AE180" s="4" t="s">
        <v>191</v>
      </c>
      <c r="AF180" s="4" t="s">
        <v>191</v>
      </c>
      <c r="AG180" s="4" t="s">
        <v>191</v>
      </c>
      <c r="AH180" s="4" t="s">
        <v>191</v>
      </c>
      <c r="AI180" s="1">
        <v>1</v>
      </c>
      <c r="AJ180" s="1">
        <v>60</v>
      </c>
      <c r="AK180" s="1">
        <v>90</v>
      </c>
      <c r="AL180" s="1">
        <v>200</v>
      </c>
      <c r="AM180" s="1">
        <v>200</v>
      </c>
      <c r="AN180" s="1">
        <v>200</v>
      </c>
      <c r="AO180" s="1">
        <v>200</v>
      </c>
      <c r="AP180" s="5"/>
    </row>
    <row r="181" s="1" customFormat="1" spans="1:42">
      <c r="A181" s="2">
        <v>161005</v>
      </c>
      <c r="B181" s="3" t="s">
        <v>409</v>
      </c>
      <c r="C181" s="3" t="s">
        <v>409</v>
      </c>
      <c r="D181" s="4" t="s">
        <v>410</v>
      </c>
      <c r="E181" s="1">
        <v>70</v>
      </c>
      <c r="F181" s="1">
        <v>100</v>
      </c>
      <c r="G181" s="1">
        <v>2.4</v>
      </c>
      <c r="H181" s="1">
        <v>10</v>
      </c>
      <c r="I181" s="5" t="s">
        <v>49</v>
      </c>
      <c r="J181" s="1">
        <v>-1</v>
      </c>
      <c r="K181" s="1">
        <v>0</v>
      </c>
      <c r="L181" s="1">
        <v>0</v>
      </c>
      <c r="N181" s="6">
        <v>1</v>
      </c>
      <c r="O181" s="1">
        <v>1</v>
      </c>
      <c r="Q181" s="4" t="s">
        <v>410</v>
      </c>
      <c r="R181" s="4" t="s">
        <v>411</v>
      </c>
      <c r="S181" s="5">
        <v>6</v>
      </c>
      <c r="T181" s="4" t="s">
        <v>411</v>
      </c>
      <c r="U181" s="4" t="s">
        <v>411</v>
      </c>
      <c r="V181" s="4" t="s">
        <v>411</v>
      </c>
      <c r="W181" s="4" t="s">
        <v>411</v>
      </c>
      <c r="X181" s="4" t="s">
        <v>411</v>
      </c>
      <c r="Y181" s="4" t="s">
        <v>411</v>
      </c>
      <c r="Z181" s="4" t="s">
        <v>411</v>
      </c>
      <c r="AA181" s="4" t="s">
        <v>412</v>
      </c>
      <c r="AB181" s="4" t="s">
        <v>413</v>
      </c>
      <c r="AC181" s="4" t="s">
        <v>413</v>
      </c>
      <c r="AD181" s="4" t="s">
        <v>413</v>
      </c>
      <c r="AE181" s="4" t="s">
        <v>413</v>
      </c>
      <c r="AF181" s="4" t="s">
        <v>413</v>
      </c>
      <c r="AG181" s="4" t="s">
        <v>413</v>
      </c>
      <c r="AH181" s="4" t="s">
        <v>413</v>
      </c>
      <c r="AI181" s="1">
        <v>1</v>
      </c>
      <c r="AJ181" s="1">
        <v>60</v>
      </c>
      <c r="AK181" s="1">
        <v>90</v>
      </c>
      <c r="AL181" s="1">
        <v>200</v>
      </c>
      <c r="AM181" s="1">
        <v>200</v>
      </c>
      <c r="AN181" s="1">
        <v>200</v>
      </c>
      <c r="AO181" s="1">
        <v>200</v>
      </c>
      <c r="AP181" s="5"/>
    </row>
    <row r="182" s="1" customFormat="1" spans="1:42">
      <c r="A182" s="2">
        <v>161006</v>
      </c>
      <c r="B182" s="3" t="s">
        <v>414</v>
      </c>
      <c r="C182" s="3" t="s">
        <v>414</v>
      </c>
      <c r="D182" s="4" t="s">
        <v>415</v>
      </c>
      <c r="E182" s="1">
        <v>71</v>
      </c>
      <c r="F182" s="1">
        <v>-1</v>
      </c>
      <c r="G182" s="1">
        <v>0.667</v>
      </c>
      <c r="H182" s="1">
        <v>6</v>
      </c>
      <c r="I182" s="5" t="s">
        <v>71</v>
      </c>
      <c r="J182" s="1">
        <v>-1</v>
      </c>
      <c r="K182" s="1">
        <v>0</v>
      </c>
      <c r="L182" s="1">
        <v>0</v>
      </c>
      <c r="N182" s="6">
        <v>1</v>
      </c>
      <c r="O182" s="1">
        <v>1</v>
      </c>
      <c r="Q182" s="4" t="s">
        <v>415</v>
      </c>
      <c r="R182" s="4" t="s">
        <v>416</v>
      </c>
      <c r="S182" s="5">
        <v>7</v>
      </c>
      <c r="T182" s="4" t="s">
        <v>416</v>
      </c>
      <c r="U182" s="4" t="s">
        <v>416</v>
      </c>
      <c r="V182" s="4" t="s">
        <v>416</v>
      </c>
      <c r="W182" s="4" t="s">
        <v>416</v>
      </c>
      <c r="X182" s="4" t="s">
        <v>416</v>
      </c>
      <c r="Y182" s="4" t="s">
        <v>416</v>
      </c>
      <c r="Z182" s="4" t="s">
        <v>416</v>
      </c>
      <c r="AA182" s="4" t="s">
        <v>417</v>
      </c>
      <c r="AB182" s="4" t="s">
        <v>417</v>
      </c>
      <c r="AC182" s="4" t="s">
        <v>417</v>
      </c>
      <c r="AD182" s="4" t="s">
        <v>417</v>
      </c>
      <c r="AE182" s="4" t="s">
        <v>417</v>
      </c>
      <c r="AF182" s="4" t="s">
        <v>417</v>
      </c>
      <c r="AG182" s="4" t="s">
        <v>417</v>
      </c>
      <c r="AH182" s="4" t="s">
        <v>417</v>
      </c>
      <c r="AI182" s="1">
        <v>1</v>
      </c>
      <c r="AJ182" s="1">
        <v>200</v>
      </c>
      <c r="AK182" s="1">
        <v>200</v>
      </c>
      <c r="AL182" s="1">
        <v>200</v>
      </c>
      <c r="AM182" s="1">
        <v>200</v>
      </c>
      <c r="AN182" s="1">
        <v>200</v>
      </c>
      <c r="AO182" s="1">
        <v>200</v>
      </c>
      <c r="AP182" s="5"/>
    </row>
    <row r="183" s="1" customFormat="1" spans="1:42">
      <c r="A183" s="2">
        <v>161007</v>
      </c>
      <c r="B183" s="3" t="s">
        <v>418</v>
      </c>
      <c r="C183" s="3" t="s">
        <v>418</v>
      </c>
      <c r="D183" s="4" t="s">
        <v>419</v>
      </c>
      <c r="E183" s="1">
        <v>72</v>
      </c>
      <c r="F183" s="1">
        <v>120</v>
      </c>
      <c r="G183" s="1">
        <v>0</v>
      </c>
      <c r="H183" s="1">
        <v>120</v>
      </c>
      <c r="I183" s="5" t="s">
        <v>76</v>
      </c>
      <c r="J183" s="1">
        <v>-1</v>
      </c>
      <c r="K183" s="1">
        <v>0</v>
      </c>
      <c r="L183" s="1">
        <v>0</v>
      </c>
      <c r="N183" s="6">
        <v>480</v>
      </c>
      <c r="O183" s="1">
        <v>1</v>
      </c>
      <c r="Q183" s="4" t="s">
        <v>419</v>
      </c>
      <c r="R183" s="4" t="s">
        <v>420</v>
      </c>
      <c r="S183" s="5">
        <v>8</v>
      </c>
      <c r="T183" s="4" t="s">
        <v>420</v>
      </c>
      <c r="U183" s="4" t="s">
        <v>420</v>
      </c>
      <c r="V183" s="4" t="s">
        <v>420</v>
      </c>
      <c r="W183" s="4" t="s">
        <v>420</v>
      </c>
      <c r="X183" s="4" t="s">
        <v>420</v>
      </c>
      <c r="Y183" s="4" t="s">
        <v>420</v>
      </c>
      <c r="Z183" s="4" t="s">
        <v>420</v>
      </c>
      <c r="AA183" s="4" t="s">
        <v>78</v>
      </c>
      <c r="AB183" s="4" t="s">
        <v>78</v>
      </c>
      <c r="AC183" s="4" t="s">
        <v>78</v>
      </c>
      <c r="AD183" s="4" t="s">
        <v>78</v>
      </c>
      <c r="AE183" s="4" t="s">
        <v>78</v>
      </c>
      <c r="AF183" s="4" t="s">
        <v>78</v>
      </c>
      <c r="AG183" s="4" t="s">
        <v>78</v>
      </c>
      <c r="AH183" s="4" t="s">
        <v>78</v>
      </c>
      <c r="AI183" s="1">
        <v>1</v>
      </c>
      <c r="AJ183" s="1">
        <v>2</v>
      </c>
      <c r="AK183" s="1">
        <v>3</v>
      </c>
      <c r="AL183" s="1">
        <v>4</v>
      </c>
      <c r="AM183" s="1">
        <v>5</v>
      </c>
      <c r="AN183" s="1">
        <v>6</v>
      </c>
      <c r="AO183" s="1">
        <v>7</v>
      </c>
      <c r="AP183" s="5"/>
    </row>
    <row r="184" s="7" customFormat="1" spans="1:42">
      <c r="A184" s="15">
        <v>161015</v>
      </c>
      <c r="B184" s="15" t="s">
        <v>421</v>
      </c>
      <c r="C184" s="15" t="s">
        <v>421</v>
      </c>
      <c r="D184" s="16" t="s">
        <v>80</v>
      </c>
      <c r="E184" s="7">
        <v>2476</v>
      </c>
      <c r="F184" s="7">
        <v>-1</v>
      </c>
      <c r="G184" s="7">
        <v>0</v>
      </c>
      <c r="H184" s="7">
        <v>0</v>
      </c>
      <c r="I184" s="15" t="s">
        <v>43</v>
      </c>
      <c r="J184" s="7">
        <v>-1</v>
      </c>
      <c r="K184" s="7">
        <v>0</v>
      </c>
      <c r="L184" s="7">
        <v>0</v>
      </c>
      <c r="N184" s="24">
        <v>1</v>
      </c>
      <c r="O184" s="7">
        <v>1</v>
      </c>
      <c r="Q184" s="7" t="s">
        <v>149</v>
      </c>
      <c r="R184" s="7" t="s">
        <v>149</v>
      </c>
      <c r="S184" s="15">
        <v>9</v>
      </c>
      <c r="T184" s="7" t="str">
        <f t="shared" ref="T184:T204" si="258">B184</f>
        <v>充沛</v>
      </c>
      <c r="U184" s="7" t="str">
        <f t="shared" ref="U184:Z184" si="259">T184</f>
        <v>充沛</v>
      </c>
      <c r="V184" s="7" t="str">
        <f t="shared" si="259"/>
        <v>充沛</v>
      </c>
      <c r="W184" s="7" t="str">
        <f t="shared" si="259"/>
        <v>充沛</v>
      </c>
      <c r="X184" s="7" t="str">
        <f t="shared" si="259"/>
        <v>充沛</v>
      </c>
      <c r="Y184" s="7" t="str">
        <f t="shared" si="259"/>
        <v>充沛</v>
      </c>
      <c r="Z184" s="7" t="str">
        <f t="shared" si="259"/>
        <v>充沛</v>
      </c>
      <c r="AA184" s="7" t="s">
        <v>81</v>
      </c>
      <c r="AB184" s="7" t="str">
        <f t="shared" ref="AB184:AH184" si="260">AA184</f>
        <v>无</v>
      </c>
      <c r="AC184" s="7" t="str">
        <f t="shared" si="260"/>
        <v>无</v>
      </c>
      <c r="AD184" s="7" t="str">
        <f t="shared" si="260"/>
        <v>无</v>
      </c>
      <c r="AE184" s="7" t="str">
        <f t="shared" si="260"/>
        <v>无</v>
      </c>
      <c r="AF184" s="7" t="str">
        <f t="shared" si="260"/>
        <v>无</v>
      </c>
      <c r="AG184" s="7" t="str">
        <f t="shared" si="260"/>
        <v>无</v>
      </c>
      <c r="AH184" s="7" t="str">
        <f t="shared" si="260"/>
        <v>无</v>
      </c>
      <c r="AI184" s="15">
        <v>1</v>
      </c>
      <c r="AJ184" s="15">
        <v>2</v>
      </c>
      <c r="AK184" s="15">
        <v>3</v>
      </c>
      <c r="AL184" s="15">
        <v>4</v>
      </c>
      <c r="AM184" s="15">
        <v>5</v>
      </c>
      <c r="AN184" s="15">
        <v>6</v>
      </c>
      <c r="AO184" s="15">
        <v>7</v>
      </c>
      <c r="AP184" s="15"/>
    </row>
    <row r="185" s="7" customFormat="1" spans="1:42">
      <c r="A185" s="15">
        <v>161016</v>
      </c>
      <c r="B185" s="15" t="s">
        <v>422</v>
      </c>
      <c r="C185" s="15" t="s">
        <v>422</v>
      </c>
      <c r="D185" s="16" t="s">
        <v>83</v>
      </c>
      <c r="E185" s="7">
        <v>2477</v>
      </c>
      <c r="F185" s="7">
        <v>-1</v>
      </c>
      <c r="G185" s="7">
        <v>0</v>
      </c>
      <c r="H185" s="7">
        <v>0</v>
      </c>
      <c r="I185" s="15" t="s">
        <v>43</v>
      </c>
      <c r="J185" s="7">
        <v>-1</v>
      </c>
      <c r="K185" s="7">
        <v>0</v>
      </c>
      <c r="L185" s="7">
        <v>0</v>
      </c>
      <c r="N185" s="24">
        <v>1</v>
      </c>
      <c r="O185" s="7">
        <v>1</v>
      </c>
      <c r="Q185" s="7" t="s">
        <v>149</v>
      </c>
      <c r="R185" s="7" t="s">
        <v>149</v>
      </c>
      <c r="S185" s="15">
        <v>10</v>
      </c>
      <c r="T185" s="7" t="str">
        <f t="shared" si="258"/>
        <v>蚀天</v>
      </c>
      <c r="U185" s="7" t="str">
        <f t="shared" ref="U185:Z185" si="261">T185</f>
        <v>蚀天</v>
      </c>
      <c r="V185" s="7" t="str">
        <f t="shared" si="261"/>
        <v>蚀天</v>
      </c>
      <c r="W185" s="7" t="str">
        <f t="shared" si="261"/>
        <v>蚀天</v>
      </c>
      <c r="X185" s="7" t="str">
        <f t="shared" si="261"/>
        <v>蚀天</v>
      </c>
      <c r="Y185" s="7" t="str">
        <f t="shared" si="261"/>
        <v>蚀天</v>
      </c>
      <c r="Z185" s="7" t="str">
        <f t="shared" si="261"/>
        <v>蚀天</v>
      </c>
      <c r="AA185" s="7" t="s">
        <v>81</v>
      </c>
      <c r="AB185" s="7" t="str">
        <f t="shared" ref="AB185:AH185" si="262">AA185</f>
        <v>无</v>
      </c>
      <c r="AC185" s="7" t="str">
        <f t="shared" si="262"/>
        <v>无</v>
      </c>
      <c r="AD185" s="7" t="str">
        <f t="shared" si="262"/>
        <v>无</v>
      </c>
      <c r="AE185" s="7" t="str">
        <f t="shared" si="262"/>
        <v>无</v>
      </c>
      <c r="AF185" s="7" t="str">
        <f t="shared" si="262"/>
        <v>无</v>
      </c>
      <c r="AG185" s="7" t="str">
        <f t="shared" si="262"/>
        <v>无</v>
      </c>
      <c r="AH185" s="7" t="str">
        <f t="shared" si="262"/>
        <v>无</v>
      </c>
      <c r="AI185" s="15">
        <v>1</v>
      </c>
      <c r="AJ185" s="15">
        <v>2</v>
      </c>
      <c r="AK185" s="15">
        <v>3</v>
      </c>
      <c r="AL185" s="15">
        <v>4</v>
      </c>
      <c r="AM185" s="15">
        <v>5</v>
      </c>
      <c r="AN185" s="15">
        <v>6</v>
      </c>
      <c r="AO185" s="15">
        <v>7</v>
      </c>
      <c r="AP185" s="15"/>
    </row>
    <row r="186" s="7" customFormat="1" spans="1:42">
      <c r="A186" s="15">
        <v>161017</v>
      </c>
      <c r="B186" s="15" t="s">
        <v>423</v>
      </c>
      <c r="C186" s="15" t="s">
        <v>423</v>
      </c>
      <c r="D186" s="17" t="s">
        <v>85</v>
      </c>
      <c r="E186" s="7">
        <v>2478</v>
      </c>
      <c r="F186" s="7">
        <v>-1</v>
      </c>
      <c r="G186" s="7">
        <v>0</v>
      </c>
      <c r="H186" s="7">
        <v>0</v>
      </c>
      <c r="I186" s="15" t="s">
        <v>43</v>
      </c>
      <c r="J186" s="7">
        <v>-1</v>
      </c>
      <c r="K186" s="7">
        <v>0</v>
      </c>
      <c r="L186" s="7">
        <v>0</v>
      </c>
      <c r="N186" s="24">
        <v>1</v>
      </c>
      <c r="O186" s="7">
        <v>1</v>
      </c>
      <c r="Q186" s="7" t="s">
        <v>149</v>
      </c>
      <c r="R186" s="7" t="s">
        <v>149</v>
      </c>
      <c r="S186" s="15">
        <v>11</v>
      </c>
      <c r="T186" s="7" t="str">
        <f t="shared" si="258"/>
        <v>火神</v>
      </c>
      <c r="U186" s="7" t="str">
        <f t="shared" ref="U186:Z186" si="263">T186</f>
        <v>火神</v>
      </c>
      <c r="V186" s="7" t="str">
        <f t="shared" si="263"/>
        <v>火神</v>
      </c>
      <c r="W186" s="7" t="str">
        <f t="shared" si="263"/>
        <v>火神</v>
      </c>
      <c r="X186" s="7" t="str">
        <f t="shared" si="263"/>
        <v>火神</v>
      </c>
      <c r="Y186" s="7" t="str">
        <f t="shared" si="263"/>
        <v>火神</v>
      </c>
      <c r="Z186" s="7" t="str">
        <f t="shared" si="263"/>
        <v>火神</v>
      </c>
      <c r="AA186" s="7" t="s">
        <v>81</v>
      </c>
      <c r="AB186" s="7" t="str">
        <f t="shared" ref="AB186:AH186" si="264">AA186</f>
        <v>无</v>
      </c>
      <c r="AC186" s="7" t="str">
        <f t="shared" si="264"/>
        <v>无</v>
      </c>
      <c r="AD186" s="7" t="str">
        <f t="shared" si="264"/>
        <v>无</v>
      </c>
      <c r="AE186" s="7" t="str">
        <f t="shared" si="264"/>
        <v>无</v>
      </c>
      <c r="AF186" s="7" t="str">
        <f t="shared" si="264"/>
        <v>无</v>
      </c>
      <c r="AG186" s="7" t="str">
        <f t="shared" si="264"/>
        <v>无</v>
      </c>
      <c r="AH186" s="7" t="str">
        <f t="shared" si="264"/>
        <v>无</v>
      </c>
      <c r="AI186" s="15">
        <v>1</v>
      </c>
      <c r="AJ186" s="15">
        <v>2</v>
      </c>
      <c r="AK186" s="15">
        <v>3</v>
      </c>
      <c r="AL186" s="15">
        <v>4</v>
      </c>
      <c r="AM186" s="15">
        <v>5</v>
      </c>
      <c r="AN186" s="15">
        <v>6</v>
      </c>
      <c r="AO186" s="15">
        <v>7</v>
      </c>
      <c r="AP186" s="15"/>
    </row>
    <row r="187" s="7" customFormat="1" spans="1:42">
      <c r="A187" s="15">
        <v>161018</v>
      </c>
      <c r="B187" s="15" t="s">
        <v>424</v>
      </c>
      <c r="C187" s="15" t="s">
        <v>424</v>
      </c>
      <c r="D187" s="18" t="s">
        <v>87</v>
      </c>
      <c r="E187" s="7">
        <v>2479</v>
      </c>
      <c r="F187" s="7">
        <v>-1</v>
      </c>
      <c r="G187" s="7">
        <v>0</v>
      </c>
      <c r="H187" s="7">
        <v>0</v>
      </c>
      <c r="I187" s="15" t="s">
        <v>43</v>
      </c>
      <c r="J187" s="7">
        <v>-1</v>
      </c>
      <c r="K187" s="7">
        <v>0</v>
      </c>
      <c r="L187" s="7">
        <v>0</v>
      </c>
      <c r="N187" s="24">
        <v>1</v>
      </c>
      <c r="O187" s="7">
        <v>1</v>
      </c>
      <c r="Q187" s="7" t="s">
        <v>149</v>
      </c>
      <c r="R187" s="7" t="s">
        <v>149</v>
      </c>
      <c r="S187" s="15">
        <v>12</v>
      </c>
      <c r="T187" s="7" t="str">
        <f t="shared" si="258"/>
        <v>神焰</v>
      </c>
      <c r="U187" s="7" t="str">
        <f t="shared" ref="U187:Z187" si="265">T187</f>
        <v>神焰</v>
      </c>
      <c r="V187" s="7" t="str">
        <f t="shared" si="265"/>
        <v>神焰</v>
      </c>
      <c r="W187" s="7" t="str">
        <f t="shared" si="265"/>
        <v>神焰</v>
      </c>
      <c r="X187" s="7" t="str">
        <f t="shared" si="265"/>
        <v>神焰</v>
      </c>
      <c r="Y187" s="7" t="str">
        <f t="shared" si="265"/>
        <v>神焰</v>
      </c>
      <c r="Z187" s="7" t="str">
        <f t="shared" si="265"/>
        <v>神焰</v>
      </c>
      <c r="AA187" s="7" t="s">
        <v>81</v>
      </c>
      <c r="AB187" s="7" t="str">
        <f t="shared" ref="AB187:AH187" si="266">AA187</f>
        <v>无</v>
      </c>
      <c r="AC187" s="7" t="str">
        <f t="shared" si="266"/>
        <v>无</v>
      </c>
      <c r="AD187" s="7" t="str">
        <f t="shared" si="266"/>
        <v>无</v>
      </c>
      <c r="AE187" s="7" t="str">
        <f t="shared" si="266"/>
        <v>无</v>
      </c>
      <c r="AF187" s="7" t="str">
        <f t="shared" si="266"/>
        <v>无</v>
      </c>
      <c r="AG187" s="7" t="str">
        <f t="shared" si="266"/>
        <v>无</v>
      </c>
      <c r="AH187" s="7" t="str">
        <f t="shared" si="266"/>
        <v>无</v>
      </c>
      <c r="AI187" s="15">
        <v>1</v>
      </c>
      <c r="AJ187" s="15">
        <v>2</v>
      </c>
      <c r="AK187" s="15">
        <v>3</v>
      </c>
      <c r="AL187" s="15">
        <v>4</v>
      </c>
      <c r="AM187" s="15">
        <v>5</v>
      </c>
      <c r="AN187" s="15">
        <v>6</v>
      </c>
      <c r="AO187" s="15">
        <v>7</v>
      </c>
      <c r="AP187" s="15"/>
    </row>
    <row r="188" s="7" customFormat="1" spans="1:42">
      <c r="A188" s="15">
        <v>161019</v>
      </c>
      <c r="B188" s="15" t="s">
        <v>425</v>
      </c>
      <c r="C188" s="15" t="s">
        <v>425</v>
      </c>
      <c r="D188" s="17" t="s">
        <v>89</v>
      </c>
      <c r="E188" s="7">
        <v>2480</v>
      </c>
      <c r="F188" s="7">
        <v>-1</v>
      </c>
      <c r="G188" s="7">
        <v>0</v>
      </c>
      <c r="H188" s="7">
        <v>0</v>
      </c>
      <c r="I188" s="15" t="s">
        <v>43</v>
      </c>
      <c r="J188" s="7">
        <v>-1</v>
      </c>
      <c r="K188" s="7">
        <v>0</v>
      </c>
      <c r="L188" s="7">
        <v>0</v>
      </c>
      <c r="N188" s="24">
        <v>1</v>
      </c>
      <c r="O188" s="7">
        <v>1</v>
      </c>
      <c r="Q188" s="7" t="s">
        <v>149</v>
      </c>
      <c r="R188" s="7" t="s">
        <v>149</v>
      </c>
      <c r="S188" s="15">
        <v>13</v>
      </c>
      <c r="T188" s="7" t="str">
        <f t="shared" si="258"/>
        <v>咆哮</v>
      </c>
      <c r="U188" s="7" t="str">
        <f t="shared" ref="U188:Z188" si="267">T188</f>
        <v>咆哮</v>
      </c>
      <c r="V188" s="7" t="str">
        <f t="shared" si="267"/>
        <v>咆哮</v>
      </c>
      <c r="W188" s="7" t="str">
        <f t="shared" si="267"/>
        <v>咆哮</v>
      </c>
      <c r="X188" s="7" t="str">
        <f t="shared" si="267"/>
        <v>咆哮</v>
      </c>
      <c r="Y188" s="7" t="str">
        <f t="shared" si="267"/>
        <v>咆哮</v>
      </c>
      <c r="Z188" s="7" t="str">
        <f t="shared" si="267"/>
        <v>咆哮</v>
      </c>
      <c r="AA188" s="7" t="s">
        <v>81</v>
      </c>
      <c r="AB188" s="7" t="str">
        <f t="shared" ref="AB188:AH188" si="268">AA188</f>
        <v>无</v>
      </c>
      <c r="AC188" s="7" t="str">
        <f t="shared" si="268"/>
        <v>无</v>
      </c>
      <c r="AD188" s="7" t="str">
        <f t="shared" si="268"/>
        <v>无</v>
      </c>
      <c r="AE188" s="7" t="str">
        <f t="shared" si="268"/>
        <v>无</v>
      </c>
      <c r="AF188" s="7" t="str">
        <f t="shared" si="268"/>
        <v>无</v>
      </c>
      <c r="AG188" s="7" t="str">
        <f t="shared" si="268"/>
        <v>无</v>
      </c>
      <c r="AH188" s="7" t="str">
        <f t="shared" si="268"/>
        <v>无</v>
      </c>
      <c r="AI188" s="15">
        <v>1</v>
      </c>
      <c r="AJ188" s="15">
        <v>2</v>
      </c>
      <c r="AK188" s="15">
        <v>3</v>
      </c>
      <c r="AL188" s="15">
        <v>4</v>
      </c>
      <c r="AM188" s="15">
        <v>5</v>
      </c>
      <c r="AN188" s="15">
        <v>6</v>
      </c>
      <c r="AO188" s="15">
        <v>7</v>
      </c>
      <c r="AP188" s="15"/>
    </row>
    <row r="189" s="7" customFormat="1" spans="1:42">
      <c r="A189" s="15">
        <v>161020</v>
      </c>
      <c r="B189" s="15" t="s">
        <v>426</v>
      </c>
      <c r="C189" s="15" t="s">
        <v>426</v>
      </c>
      <c r="D189" s="17" t="s">
        <v>91</v>
      </c>
      <c r="E189" s="7">
        <v>2481</v>
      </c>
      <c r="F189" s="7">
        <v>-1</v>
      </c>
      <c r="G189" s="7">
        <v>0</v>
      </c>
      <c r="H189" s="7">
        <v>0</v>
      </c>
      <c r="I189" s="15" t="s">
        <v>43</v>
      </c>
      <c r="J189" s="7">
        <v>-1</v>
      </c>
      <c r="K189" s="7">
        <v>0</v>
      </c>
      <c r="L189" s="7">
        <v>0</v>
      </c>
      <c r="N189" s="24">
        <v>1</v>
      </c>
      <c r="O189" s="7">
        <v>1</v>
      </c>
      <c r="Q189" s="7" t="s">
        <v>149</v>
      </c>
      <c r="R189" s="7" t="s">
        <v>149</v>
      </c>
      <c r="S189" s="15">
        <v>14</v>
      </c>
      <c r="T189" s="7" t="str">
        <f t="shared" si="258"/>
        <v>威吓</v>
      </c>
      <c r="U189" s="7" t="str">
        <f t="shared" ref="U189:Z189" si="269">T189</f>
        <v>威吓</v>
      </c>
      <c r="V189" s="7" t="str">
        <f t="shared" si="269"/>
        <v>威吓</v>
      </c>
      <c r="W189" s="7" t="str">
        <f t="shared" si="269"/>
        <v>威吓</v>
      </c>
      <c r="X189" s="7" t="str">
        <f t="shared" si="269"/>
        <v>威吓</v>
      </c>
      <c r="Y189" s="7" t="str">
        <f t="shared" si="269"/>
        <v>威吓</v>
      </c>
      <c r="Z189" s="7" t="str">
        <f t="shared" si="269"/>
        <v>威吓</v>
      </c>
      <c r="AA189" s="7" t="s">
        <v>81</v>
      </c>
      <c r="AB189" s="7" t="str">
        <f t="shared" ref="AB189:AH189" si="270">AA189</f>
        <v>无</v>
      </c>
      <c r="AC189" s="7" t="str">
        <f t="shared" si="270"/>
        <v>无</v>
      </c>
      <c r="AD189" s="7" t="str">
        <f t="shared" si="270"/>
        <v>无</v>
      </c>
      <c r="AE189" s="7" t="str">
        <f t="shared" si="270"/>
        <v>无</v>
      </c>
      <c r="AF189" s="7" t="str">
        <f t="shared" si="270"/>
        <v>无</v>
      </c>
      <c r="AG189" s="7" t="str">
        <f t="shared" si="270"/>
        <v>无</v>
      </c>
      <c r="AH189" s="7" t="str">
        <f t="shared" si="270"/>
        <v>无</v>
      </c>
      <c r="AI189" s="15">
        <v>1</v>
      </c>
      <c r="AJ189" s="15">
        <v>2</v>
      </c>
      <c r="AK189" s="15">
        <v>3</v>
      </c>
      <c r="AL189" s="15">
        <v>4</v>
      </c>
      <c r="AM189" s="15">
        <v>5</v>
      </c>
      <c r="AN189" s="15">
        <v>6</v>
      </c>
      <c r="AO189" s="15">
        <v>7</v>
      </c>
      <c r="AP189" s="15"/>
    </row>
    <row r="190" s="7" customFormat="1" spans="1:42">
      <c r="A190" s="15">
        <v>161021</v>
      </c>
      <c r="B190" s="15" t="s">
        <v>92</v>
      </c>
      <c r="C190" s="15" t="s">
        <v>92</v>
      </c>
      <c r="D190" s="19" t="s">
        <v>93</v>
      </c>
      <c r="E190" s="7">
        <v>2379</v>
      </c>
      <c r="F190" s="7">
        <v>-1</v>
      </c>
      <c r="G190" s="7">
        <v>0</v>
      </c>
      <c r="H190" s="7">
        <v>0</v>
      </c>
      <c r="I190" s="15" t="s">
        <v>43</v>
      </c>
      <c r="J190" s="7">
        <v>-1</v>
      </c>
      <c r="K190" s="7">
        <v>0</v>
      </c>
      <c r="L190" s="7">
        <v>0</v>
      </c>
      <c r="N190" s="24">
        <v>1</v>
      </c>
      <c r="O190" s="7">
        <v>1</v>
      </c>
      <c r="Q190" s="7" t="s">
        <v>149</v>
      </c>
      <c r="R190" s="7" t="s">
        <v>149</v>
      </c>
      <c r="S190" s="15">
        <v>15</v>
      </c>
      <c r="T190" s="7" t="str">
        <f t="shared" si="258"/>
        <v>额外能力</v>
      </c>
      <c r="U190" s="7" t="str">
        <f t="shared" ref="U190:Z190" si="271">T190</f>
        <v>额外能力</v>
      </c>
      <c r="V190" s="7" t="str">
        <f t="shared" si="271"/>
        <v>额外能力</v>
      </c>
      <c r="W190" s="7" t="str">
        <f t="shared" si="271"/>
        <v>额外能力</v>
      </c>
      <c r="X190" s="7" t="str">
        <f t="shared" si="271"/>
        <v>额外能力</v>
      </c>
      <c r="Y190" s="7" t="str">
        <f t="shared" si="271"/>
        <v>额外能力</v>
      </c>
      <c r="Z190" s="7" t="str">
        <f t="shared" si="271"/>
        <v>额外能力</v>
      </c>
      <c r="AA190" s="7" t="s">
        <v>81</v>
      </c>
      <c r="AB190" s="7" t="str">
        <f t="shared" ref="AB190:AH190" si="272">AA190</f>
        <v>无</v>
      </c>
      <c r="AC190" s="7" t="str">
        <f t="shared" si="272"/>
        <v>无</v>
      </c>
      <c r="AD190" s="7" t="str">
        <f t="shared" si="272"/>
        <v>无</v>
      </c>
      <c r="AE190" s="7" t="str">
        <f t="shared" si="272"/>
        <v>无</v>
      </c>
      <c r="AF190" s="7" t="str">
        <f t="shared" si="272"/>
        <v>无</v>
      </c>
      <c r="AG190" s="7" t="str">
        <f t="shared" si="272"/>
        <v>无</v>
      </c>
      <c r="AH190" s="7" t="str">
        <f t="shared" si="272"/>
        <v>无</v>
      </c>
      <c r="AI190" s="15">
        <v>1</v>
      </c>
      <c r="AJ190" s="15">
        <v>2</v>
      </c>
      <c r="AK190" s="15">
        <v>3</v>
      </c>
      <c r="AL190" s="15">
        <v>4</v>
      </c>
      <c r="AM190" s="15">
        <v>5</v>
      </c>
      <c r="AN190" s="15">
        <v>6</v>
      </c>
      <c r="AO190" s="15">
        <v>7</v>
      </c>
      <c r="AP190" s="15"/>
    </row>
    <row r="191" s="7" customFormat="1" spans="1:42">
      <c r="A191" s="15">
        <v>161022</v>
      </c>
      <c r="B191" s="15" t="s">
        <v>427</v>
      </c>
      <c r="C191" s="15" t="s">
        <v>427</v>
      </c>
      <c r="D191" s="17" t="s">
        <v>95</v>
      </c>
      <c r="E191" s="7">
        <v>2482</v>
      </c>
      <c r="F191" s="7">
        <v>-1</v>
      </c>
      <c r="G191" s="7">
        <v>0</v>
      </c>
      <c r="H191" s="7">
        <v>0</v>
      </c>
      <c r="I191" s="15" t="s">
        <v>43</v>
      </c>
      <c r="J191" s="7">
        <v>-1</v>
      </c>
      <c r="K191" s="7">
        <v>0</v>
      </c>
      <c r="L191" s="7">
        <v>0</v>
      </c>
      <c r="N191" s="24">
        <v>1</v>
      </c>
      <c r="O191" s="7">
        <v>1</v>
      </c>
      <c r="Q191" s="7" t="s">
        <v>149</v>
      </c>
      <c r="R191" s="7" t="s">
        <v>149</v>
      </c>
      <c r="S191" s="15">
        <v>16</v>
      </c>
      <c r="T191" s="7" t="str">
        <f t="shared" si="258"/>
        <v>震怒</v>
      </c>
      <c r="U191" s="7" t="str">
        <f t="shared" ref="U191:Z191" si="273">T191</f>
        <v>震怒</v>
      </c>
      <c r="V191" s="7" t="str">
        <f t="shared" si="273"/>
        <v>震怒</v>
      </c>
      <c r="W191" s="7" t="str">
        <f t="shared" si="273"/>
        <v>震怒</v>
      </c>
      <c r="X191" s="7" t="str">
        <f t="shared" si="273"/>
        <v>震怒</v>
      </c>
      <c r="Y191" s="7" t="str">
        <f t="shared" si="273"/>
        <v>震怒</v>
      </c>
      <c r="Z191" s="7" t="str">
        <f t="shared" si="273"/>
        <v>震怒</v>
      </c>
      <c r="AA191" s="7" t="s">
        <v>81</v>
      </c>
      <c r="AB191" s="7" t="str">
        <f t="shared" ref="AB191:AH191" si="274">AA191</f>
        <v>无</v>
      </c>
      <c r="AC191" s="7" t="str">
        <f t="shared" si="274"/>
        <v>无</v>
      </c>
      <c r="AD191" s="7" t="str">
        <f t="shared" si="274"/>
        <v>无</v>
      </c>
      <c r="AE191" s="7" t="str">
        <f t="shared" si="274"/>
        <v>无</v>
      </c>
      <c r="AF191" s="7" t="str">
        <f t="shared" si="274"/>
        <v>无</v>
      </c>
      <c r="AG191" s="7" t="str">
        <f t="shared" si="274"/>
        <v>无</v>
      </c>
      <c r="AH191" s="7" t="str">
        <f t="shared" si="274"/>
        <v>无</v>
      </c>
      <c r="AI191" s="15">
        <v>1</v>
      </c>
      <c r="AJ191" s="15">
        <v>2</v>
      </c>
      <c r="AK191" s="15">
        <v>3</v>
      </c>
      <c r="AL191" s="15">
        <v>4</v>
      </c>
      <c r="AM191" s="15">
        <v>5</v>
      </c>
      <c r="AN191" s="15">
        <v>6</v>
      </c>
      <c r="AO191" s="15">
        <v>7</v>
      </c>
      <c r="AP191" s="15"/>
    </row>
    <row r="192" s="7" customFormat="1" spans="1:42">
      <c r="A192" s="15">
        <v>161023</v>
      </c>
      <c r="B192" s="15" t="s">
        <v>428</v>
      </c>
      <c r="C192" s="15" t="s">
        <v>428</v>
      </c>
      <c r="D192" s="16" t="s">
        <v>97</v>
      </c>
      <c r="E192" s="7">
        <v>2483</v>
      </c>
      <c r="F192" s="7">
        <v>-1</v>
      </c>
      <c r="G192" s="7">
        <v>0</v>
      </c>
      <c r="H192" s="7">
        <v>0</v>
      </c>
      <c r="I192" s="15" t="s">
        <v>43</v>
      </c>
      <c r="J192" s="7">
        <v>-1</v>
      </c>
      <c r="K192" s="7">
        <v>0</v>
      </c>
      <c r="L192" s="7">
        <v>0</v>
      </c>
      <c r="N192" s="24">
        <v>1</v>
      </c>
      <c r="O192" s="7">
        <v>1</v>
      </c>
      <c r="Q192" s="7" t="s">
        <v>149</v>
      </c>
      <c r="R192" s="7" t="s">
        <v>149</v>
      </c>
      <c r="S192" s="15">
        <v>17</v>
      </c>
      <c r="T192" s="7" t="str">
        <f t="shared" si="258"/>
        <v>邪火</v>
      </c>
      <c r="U192" s="7" t="str">
        <f t="shared" ref="U192:Z192" si="275">T192</f>
        <v>邪火</v>
      </c>
      <c r="V192" s="7" t="str">
        <f t="shared" si="275"/>
        <v>邪火</v>
      </c>
      <c r="W192" s="7" t="str">
        <f t="shared" si="275"/>
        <v>邪火</v>
      </c>
      <c r="X192" s="7" t="str">
        <f t="shared" si="275"/>
        <v>邪火</v>
      </c>
      <c r="Y192" s="7" t="str">
        <f t="shared" si="275"/>
        <v>邪火</v>
      </c>
      <c r="Z192" s="7" t="str">
        <f t="shared" si="275"/>
        <v>邪火</v>
      </c>
      <c r="AA192" s="7" t="s">
        <v>81</v>
      </c>
      <c r="AB192" s="7" t="str">
        <f t="shared" ref="AB192:AH192" si="276">AA192</f>
        <v>无</v>
      </c>
      <c r="AC192" s="7" t="str">
        <f t="shared" si="276"/>
        <v>无</v>
      </c>
      <c r="AD192" s="7" t="str">
        <f t="shared" si="276"/>
        <v>无</v>
      </c>
      <c r="AE192" s="7" t="str">
        <f t="shared" si="276"/>
        <v>无</v>
      </c>
      <c r="AF192" s="7" t="str">
        <f t="shared" si="276"/>
        <v>无</v>
      </c>
      <c r="AG192" s="7" t="str">
        <f t="shared" si="276"/>
        <v>无</v>
      </c>
      <c r="AH192" s="7" t="str">
        <f t="shared" si="276"/>
        <v>无</v>
      </c>
      <c r="AI192" s="15">
        <v>1</v>
      </c>
      <c r="AJ192" s="15">
        <v>2</v>
      </c>
      <c r="AK192" s="15">
        <v>3</v>
      </c>
      <c r="AL192" s="15">
        <v>4</v>
      </c>
      <c r="AM192" s="15">
        <v>5</v>
      </c>
      <c r="AN192" s="15">
        <v>6</v>
      </c>
      <c r="AO192" s="15">
        <v>7</v>
      </c>
      <c r="AP192" s="15"/>
    </row>
    <row r="193" s="7" customFormat="1" spans="1:42">
      <c r="A193" s="15">
        <v>161024</v>
      </c>
      <c r="B193" s="15" t="s">
        <v>429</v>
      </c>
      <c r="C193" s="15" t="s">
        <v>429</v>
      </c>
      <c r="D193" s="17" t="s">
        <v>91</v>
      </c>
      <c r="E193" s="7">
        <v>2484</v>
      </c>
      <c r="F193" s="7">
        <v>-1</v>
      </c>
      <c r="G193" s="7">
        <v>0</v>
      </c>
      <c r="H193" s="7">
        <v>0</v>
      </c>
      <c r="I193" s="15" t="s">
        <v>43</v>
      </c>
      <c r="J193" s="7">
        <v>-1</v>
      </c>
      <c r="K193" s="7">
        <v>0</v>
      </c>
      <c r="L193" s="7">
        <v>0</v>
      </c>
      <c r="N193" s="24">
        <v>1</v>
      </c>
      <c r="O193" s="7">
        <v>1</v>
      </c>
      <c r="Q193" s="7" t="s">
        <v>149</v>
      </c>
      <c r="R193" s="7" t="s">
        <v>149</v>
      </c>
      <c r="S193" s="15">
        <v>18</v>
      </c>
      <c r="T193" s="7" t="str">
        <f t="shared" si="258"/>
        <v>震天</v>
      </c>
      <c r="U193" s="7" t="str">
        <f t="shared" ref="U193:Z193" si="277">T193</f>
        <v>震天</v>
      </c>
      <c r="V193" s="7" t="str">
        <f t="shared" si="277"/>
        <v>震天</v>
      </c>
      <c r="W193" s="7" t="str">
        <f t="shared" si="277"/>
        <v>震天</v>
      </c>
      <c r="X193" s="7" t="str">
        <f t="shared" si="277"/>
        <v>震天</v>
      </c>
      <c r="Y193" s="7" t="str">
        <f t="shared" si="277"/>
        <v>震天</v>
      </c>
      <c r="Z193" s="7" t="str">
        <f t="shared" si="277"/>
        <v>震天</v>
      </c>
      <c r="AA193" s="7" t="s">
        <v>81</v>
      </c>
      <c r="AB193" s="7" t="str">
        <f t="shared" ref="AB193:AH193" si="278">AA193</f>
        <v>无</v>
      </c>
      <c r="AC193" s="7" t="str">
        <f t="shared" si="278"/>
        <v>无</v>
      </c>
      <c r="AD193" s="7" t="str">
        <f t="shared" si="278"/>
        <v>无</v>
      </c>
      <c r="AE193" s="7" t="str">
        <f t="shared" si="278"/>
        <v>无</v>
      </c>
      <c r="AF193" s="7" t="str">
        <f t="shared" si="278"/>
        <v>无</v>
      </c>
      <c r="AG193" s="7" t="str">
        <f t="shared" si="278"/>
        <v>无</v>
      </c>
      <c r="AH193" s="7" t="str">
        <f t="shared" si="278"/>
        <v>无</v>
      </c>
      <c r="AI193" s="15">
        <v>1</v>
      </c>
      <c r="AJ193" s="15">
        <v>2</v>
      </c>
      <c r="AK193" s="15">
        <v>3</v>
      </c>
      <c r="AL193" s="15">
        <v>4</v>
      </c>
      <c r="AM193" s="15">
        <v>5</v>
      </c>
      <c r="AN193" s="15">
        <v>6</v>
      </c>
      <c r="AO193" s="15">
        <v>7</v>
      </c>
      <c r="AP193" s="15"/>
    </row>
    <row r="194" s="7" customFormat="1" spans="1:42">
      <c r="A194" s="15">
        <v>161025</v>
      </c>
      <c r="B194" s="15" t="s">
        <v>430</v>
      </c>
      <c r="C194" s="15" t="s">
        <v>430</v>
      </c>
      <c r="D194" s="17" t="s">
        <v>100</v>
      </c>
      <c r="E194" s="7">
        <v>2485</v>
      </c>
      <c r="F194" s="7">
        <v>-1</v>
      </c>
      <c r="G194" s="7">
        <v>0</v>
      </c>
      <c r="H194" s="7">
        <v>0</v>
      </c>
      <c r="I194" s="15" t="s">
        <v>43</v>
      </c>
      <c r="J194" s="7">
        <v>-1</v>
      </c>
      <c r="K194" s="7">
        <v>0</v>
      </c>
      <c r="L194" s="7">
        <v>0</v>
      </c>
      <c r="N194" s="24">
        <v>1</v>
      </c>
      <c r="O194" s="7">
        <v>1</v>
      </c>
      <c r="Q194" s="7" t="s">
        <v>149</v>
      </c>
      <c r="R194" s="7" t="s">
        <v>149</v>
      </c>
      <c r="S194" s="15">
        <v>19</v>
      </c>
      <c r="T194" s="7" t="str">
        <f t="shared" si="258"/>
        <v>崩摧</v>
      </c>
      <c r="U194" s="7" t="str">
        <f t="shared" ref="U194:Z194" si="279">T194</f>
        <v>崩摧</v>
      </c>
      <c r="V194" s="7" t="str">
        <f t="shared" si="279"/>
        <v>崩摧</v>
      </c>
      <c r="W194" s="7" t="str">
        <f t="shared" si="279"/>
        <v>崩摧</v>
      </c>
      <c r="X194" s="7" t="str">
        <f t="shared" si="279"/>
        <v>崩摧</v>
      </c>
      <c r="Y194" s="7" t="str">
        <f t="shared" si="279"/>
        <v>崩摧</v>
      </c>
      <c r="Z194" s="7" t="str">
        <f t="shared" si="279"/>
        <v>崩摧</v>
      </c>
      <c r="AA194" s="7" t="s">
        <v>81</v>
      </c>
      <c r="AB194" s="7" t="str">
        <f t="shared" ref="AB194:AH194" si="280">AA194</f>
        <v>无</v>
      </c>
      <c r="AC194" s="7" t="str">
        <f t="shared" si="280"/>
        <v>无</v>
      </c>
      <c r="AD194" s="7" t="str">
        <f t="shared" si="280"/>
        <v>无</v>
      </c>
      <c r="AE194" s="7" t="str">
        <f t="shared" si="280"/>
        <v>无</v>
      </c>
      <c r="AF194" s="7" t="str">
        <f t="shared" si="280"/>
        <v>无</v>
      </c>
      <c r="AG194" s="7" t="str">
        <f t="shared" si="280"/>
        <v>无</v>
      </c>
      <c r="AH194" s="7" t="str">
        <f t="shared" si="280"/>
        <v>无</v>
      </c>
      <c r="AI194" s="15">
        <v>1</v>
      </c>
      <c r="AJ194" s="15">
        <v>2</v>
      </c>
      <c r="AK194" s="15">
        <v>3</v>
      </c>
      <c r="AL194" s="15">
        <v>4</v>
      </c>
      <c r="AM194" s="15">
        <v>5</v>
      </c>
      <c r="AN194" s="15">
        <v>6</v>
      </c>
      <c r="AO194" s="15">
        <v>7</v>
      </c>
      <c r="AP194" s="15"/>
    </row>
    <row r="195" s="7" customFormat="1" spans="1:42">
      <c r="A195" s="15">
        <v>161026</v>
      </c>
      <c r="B195" s="15" t="s">
        <v>431</v>
      </c>
      <c r="C195" s="15" t="s">
        <v>431</v>
      </c>
      <c r="D195" s="17" t="s">
        <v>91</v>
      </c>
      <c r="E195" s="7">
        <v>2486</v>
      </c>
      <c r="F195" s="7">
        <v>-1</v>
      </c>
      <c r="G195" s="7">
        <v>0</v>
      </c>
      <c r="H195" s="7">
        <v>0</v>
      </c>
      <c r="I195" s="15" t="s">
        <v>43</v>
      </c>
      <c r="J195" s="7">
        <v>-1</v>
      </c>
      <c r="K195" s="7">
        <v>0</v>
      </c>
      <c r="L195" s="7">
        <v>0</v>
      </c>
      <c r="N195" s="24">
        <v>1</v>
      </c>
      <c r="O195" s="7">
        <v>1</v>
      </c>
      <c r="Q195" s="7" t="s">
        <v>149</v>
      </c>
      <c r="R195" s="7" t="s">
        <v>149</v>
      </c>
      <c r="S195" s="15">
        <v>20</v>
      </c>
      <c r="T195" s="7" t="str">
        <f t="shared" si="258"/>
        <v>狂月</v>
      </c>
      <c r="U195" s="7" t="str">
        <f t="shared" ref="U195:Z195" si="281">T195</f>
        <v>狂月</v>
      </c>
      <c r="V195" s="7" t="str">
        <f t="shared" si="281"/>
        <v>狂月</v>
      </c>
      <c r="W195" s="7" t="str">
        <f t="shared" si="281"/>
        <v>狂月</v>
      </c>
      <c r="X195" s="7" t="str">
        <f t="shared" si="281"/>
        <v>狂月</v>
      </c>
      <c r="Y195" s="7" t="str">
        <f t="shared" si="281"/>
        <v>狂月</v>
      </c>
      <c r="Z195" s="7" t="str">
        <f t="shared" si="281"/>
        <v>狂月</v>
      </c>
      <c r="AA195" s="7" t="s">
        <v>81</v>
      </c>
      <c r="AB195" s="7" t="str">
        <f t="shared" ref="AB195:AH195" si="282">AA195</f>
        <v>无</v>
      </c>
      <c r="AC195" s="7" t="str">
        <f t="shared" si="282"/>
        <v>无</v>
      </c>
      <c r="AD195" s="7" t="str">
        <f t="shared" si="282"/>
        <v>无</v>
      </c>
      <c r="AE195" s="7" t="str">
        <f t="shared" si="282"/>
        <v>无</v>
      </c>
      <c r="AF195" s="7" t="str">
        <f t="shared" si="282"/>
        <v>无</v>
      </c>
      <c r="AG195" s="7" t="str">
        <f t="shared" si="282"/>
        <v>无</v>
      </c>
      <c r="AH195" s="7" t="str">
        <f t="shared" si="282"/>
        <v>无</v>
      </c>
      <c r="AI195" s="15">
        <v>1</v>
      </c>
      <c r="AJ195" s="15">
        <v>2</v>
      </c>
      <c r="AK195" s="15">
        <v>3</v>
      </c>
      <c r="AL195" s="15">
        <v>4</v>
      </c>
      <c r="AM195" s="15">
        <v>5</v>
      </c>
      <c r="AN195" s="15">
        <v>6</v>
      </c>
      <c r="AO195" s="15">
        <v>7</v>
      </c>
      <c r="AP195" s="15"/>
    </row>
    <row r="196" s="7" customFormat="1" spans="1:42">
      <c r="A196" s="15">
        <v>161027</v>
      </c>
      <c r="B196" s="15" t="s">
        <v>432</v>
      </c>
      <c r="C196" s="15" t="s">
        <v>432</v>
      </c>
      <c r="D196" s="17" t="s">
        <v>103</v>
      </c>
      <c r="E196" s="7">
        <v>2487</v>
      </c>
      <c r="F196" s="7">
        <v>-1</v>
      </c>
      <c r="G196" s="7">
        <v>0</v>
      </c>
      <c r="H196" s="7">
        <v>0</v>
      </c>
      <c r="I196" s="15" t="s">
        <v>43</v>
      </c>
      <c r="J196" s="7">
        <v>-1</v>
      </c>
      <c r="K196" s="7">
        <v>0</v>
      </c>
      <c r="L196" s="7">
        <v>0</v>
      </c>
      <c r="N196" s="24">
        <v>1</v>
      </c>
      <c r="O196" s="7">
        <v>1</v>
      </c>
      <c r="Q196" s="7" t="s">
        <v>149</v>
      </c>
      <c r="R196" s="7" t="s">
        <v>149</v>
      </c>
      <c r="S196" s="15">
        <v>21</v>
      </c>
      <c r="T196" s="7" t="str">
        <f t="shared" si="258"/>
        <v>连营</v>
      </c>
      <c r="U196" s="7" t="str">
        <f t="shared" ref="U196:Z196" si="283">T196</f>
        <v>连营</v>
      </c>
      <c r="V196" s="7" t="str">
        <f t="shared" si="283"/>
        <v>连营</v>
      </c>
      <c r="W196" s="7" t="str">
        <f t="shared" si="283"/>
        <v>连营</v>
      </c>
      <c r="X196" s="7" t="str">
        <f t="shared" si="283"/>
        <v>连营</v>
      </c>
      <c r="Y196" s="7" t="str">
        <f t="shared" si="283"/>
        <v>连营</v>
      </c>
      <c r="Z196" s="7" t="str">
        <f t="shared" si="283"/>
        <v>连营</v>
      </c>
      <c r="AA196" s="7" t="s">
        <v>81</v>
      </c>
      <c r="AB196" s="7" t="str">
        <f t="shared" ref="AB196:AH196" si="284">AA196</f>
        <v>无</v>
      </c>
      <c r="AC196" s="7" t="str">
        <f t="shared" si="284"/>
        <v>无</v>
      </c>
      <c r="AD196" s="7" t="str">
        <f t="shared" si="284"/>
        <v>无</v>
      </c>
      <c r="AE196" s="7" t="str">
        <f t="shared" si="284"/>
        <v>无</v>
      </c>
      <c r="AF196" s="7" t="str">
        <f t="shared" si="284"/>
        <v>无</v>
      </c>
      <c r="AG196" s="7" t="str">
        <f t="shared" si="284"/>
        <v>无</v>
      </c>
      <c r="AH196" s="7" t="str">
        <f t="shared" si="284"/>
        <v>无</v>
      </c>
      <c r="AI196" s="15">
        <v>1</v>
      </c>
      <c r="AJ196" s="15">
        <v>2</v>
      </c>
      <c r="AK196" s="15">
        <v>3</v>
      </c>
      <c r="AL196" s="15">
        <v>4</v>
      </c>
      <c r="AM196" s="15">
        <v>5</v>
      </c>
      <c r="AN196" s="15">
        <v>6</v>
      </c>
      <c r="AO196" s="15">
        <v>7</v>
      </c>
      <c r="AP196" s="15"/>
    </row>
    <row r="197" s="7" customFormat="1" spans="1:42">
      <c r="A197" s="15">
        <v>161028</v>
      </c>
      <c r="B197" s="15" t="s">
        <v>433</v>
      </c>
      <c r="C197" s="15" t="s">
        <v>433</v>
      </c>
      <c r="D197" s="17" t="s">
        <v>105</v>
      </c>
      <c r="E197" s="7">
        <v>2488</v>
      </c>
      <c r="F197" s="7">
        <v>-1</v>
      </c>
      <c r="G197" s="7">
        <v>0</v>
      </c>
      <c r="H197" s="7">
        <v>0</v>
      </c>
      <c r="I197" s="15" t="s">
        <v>370</v>
      </c>
      <c r="J197" s="7">
        <v>-1</v>
      </c>
      <c r="K197" s="7">
        <v>0</v>
      </c>
      <c r="L197" s="7">
        <v>0</v>
      </c>
      <c r="N197" s="24">
        <v>1</v>
      </c>
      <c r="O197" s="7">
        <v>1</v>
      </c>
      <c r="Q197" s="7" t="s">
        <v>149</v>
      </c>
      <c r="R197" s="7" t="s">
        <v>149</v>
      </c>
      <c r="S197" s="15">
        <v>22</v>
      </c>
      <c r="T197" s="7" t="str">
        <f t="shared" si="258"/>
        <v>魔焰滔天</v>
      </c>
      <c r="U197" s="7" t="str">
        <f t="shared" ref="U197:Z197" si="285">T197</f>
        <v>魔焰滔天</v>
      </c>
      <c r="V197" s="7" t="str">
        <f t="shared" si="285"/>
        <v>魔焰滔天</v>
      </c>
      <c r="W197" s="7" t="str">
        <f t="shared" si="285"/>
        <v>魔焰滔天</v>
      </c>
      <c r="X197" s="7" t="str">
        <f t="shared" si="285"/>
        <v>魔焰滔天</v>
      </c>
      <c r="Y197" s="7" t="str">
        <f t="shared" si="285"/>
        <v>魔焰滔天</v>
      </c>
      <c r="Z197" s="7" t="str">
        <f t="shared" si="285"/>
        <v>魔焰滔天</v>
      </c>
      <c r="AA197" s="7" t="s">
        <v>327</v>
      </c>
      <c r="AB197" s="7" t="str">
        <f t="shared" ref="AB197:AH197" si="286">AA197</f>
        <v>6回合，战斗开始时具有3回合冷却</v>
      </c>
      <c r="AC197" s="7" t="str">
        <f t="shared" si="286"/>
        <v>6回合，战斗开始时具有3回合冷却</v>
      </c>
      <c r="AD197" s="7" t="str">
        <f t="shared" si="286"/>
        <v>6回合，战斗开始时具有3回合冷却</v>
      </c>
      <c r="AE197" s="7" t="str">
        <f t="shared" si="286"/>
        <v>6回合，战斗开始时具有3回合冷却</v>
      </c>
      <c r="AF197" s="7" t="str">
        <f t="shared" si="286"/>
        <v>6回合，战斗开始时具有3回合冷却</v>
      </c>
      <c r="AG197" s="7" t="str">
        <f t="shared" si="286"/>
        <v>6回合，战斗开始时具有3回合冷却</v>
      </c>
      <c r="AH197" s="7" t="str">
        <f t="shared" si="286"/>
        <v>6回合，战斗开始时具有3回合冷却</v>
      </c>
      <c r="AI197" s="15">
        <v>1</v>
      </c>
      <c r="AJ197" s="15">
        <v>2</v>
      </c>
      <c r="AK197" s="15">
        <v>3</v>
      </c>
      <c r="AL197" s="15">
        <v>4</v>
      </c>
      <c r="AM197" s="15">
        <v>5</v>
      </c>
      <c r="AN197" s="15">
        <v>6</v>
      </c>
      <c r="AO197" s="15">
        <v>7</v>
      </c>
      <c r="AP197" s="15"/>
    </row>
    <row r="198" s="7" customFormat="1" spans="1:42">
      <c r="A198" s="15">
        <v>161029</v>
      </c>
      <c r="B198" s="15" t="s">
        <v>434</v>
      </c>
      <c r="C198" s="15" t="s">
        <v>434</v>
      </c>
      <c r="D198" s="16" t="s">
        <v>83</v>
      </c>
      <c r="E198" s="7">
        <v>2489</v>
      </c>
      <c r="F198" s="7">
        <v>-1</v>
      </c>
      <c r="G198" s="7">
        <v>0</v>
      </c>
      <c r="H198" s="7">
        <v>0</v>
      </c>
      <c r="I198" s="15" t="s">
        <v>43</v>
      </c>
      <c r="J198" s="7">
        <v>-1</v>
      </c>
      <c r="K198" s="7">
        <v>0</v>
      </c>
      <c r="L198" s="7">
        <v>0</v>
      </c>
      <c r="N198" s="24">
        <v>1</v>
      </c>
      <c r="O198" s="7">
        <v>1</v>
      </c>
      <c r="Q198" s="7" t="s">
        <v>149</v>
      </c>
      <c r="R198" s="7" t="s">
        <v>149</v>
      </c>
      <c r="S198" s="15">
        <v>23</v>
      </c>
      <c r="T198" s="7" t="str">
        <f t="shared" si="258"/>
        <v>激怒</v>
      </c>
      <c r="U198" s="7" t="str">
        <f t="shared" ref="U198:Z198" si="287">T198</f>
        <v>激怒</v>
      </c>
      <c r="V198" s="7" t="str">
        <f t="shared" si="287"/>
        <v>激怒</v>
      </c>
      <c r="W198" s="7" t="str">
        <f t="shared" si="287"/>
        <v>激怒</v>
      </c>
      <c r="X198" s="7" t="str">
        <f t="shared" si="287"/>
        <v>激怒</v>
      </c>
      <c r="Y198" s="7" t="str">
        <f t="shared" si="287"/>
        <v>激怒</v>
      </c>
      <c r="Z198" s="7" t="str">
        <f t="shared" si="287"/>
        <v>激怒</v>
      </c>
      <c r="AA198" s="7" t="s">
        <v>81</v>
      </c>
      <c r="AB198" s="7" t="str">
        <f t="shared" ref="AB198:AH198" si="288">AA198</f>
        <v>无</v>
      </c>
      <c r="AC198" s="7" t="str">
        <f t="shared" si="288"/>
        <v>无</v>
      </c>
      <c r="AD198" s="7" t="str">
        <f t="shared" si="288"/>
        <v>无</v>
      </c>
      <c r="AE198" s="7" t="str">
        <f t="shared" si="288"/>
        <v>无</v>
      </c>
      <c r="AF198" s="7" t="str">
        <f t="shared" si="288"/>
        <v>无</v>
      </c>
      <c r="AG198" s="7" t="str">
        <f t="shared" si="288"/>
        <v>无</v>
      </c>
      <c r="AH198" s="7" t="str">
        <f t="shared" si="288"/>
        <v>无</v>
      </c>
      <c r="AI198" s="15">
        <v>1</v>
      </c>
      <c r="AJ198" s="15">
        <v>2</v>
      </c>
      <c r="AK198" s="15">
        <v>3</v>
      </c>
      <c r="AL198" s="15">
        <v>4</v>
      </c>
      <c r="AM198" s="15">
        <v>5</v>
      </c>
      <c r="AN198" s="15">
        <v>6</v>
      </c>
      <c r="AO198" s="15">
        <v>7</v>
      </c>
      <c r="AP198" s="15"/>
    </row>
    <row r="199" s="7" customFormat="1" spans="1:42">
      <c r="A199" s="15">
        <v>161030</v>
      </c>
      <c r="B199" s="15" t="s">
        <v>435</v>
      </c>
      <c r="C199" s="15" t="s">
        <v>435</v>
      </c>
      <c r="D199" s="17" t="s">
        <v>95</v>
      </c>
      <c r="E199" s="7">
        <v>2490</v>
      </c>
      <c r="F199" s="7">
        <v>-1</v>
      </c>
      <c r="G199" s="7">
        <v>0</v>
      </c>
      <c r="H199" s="7">
        <v>0</v>
      </c>
      <c r="I199" s="15" t="s">
        <v>43</v>
      </c>
      <c r="J199" s="7">
        <v>-1</v>
      </c>
      <c r="K199" s="7">
        <v>0</v>
      </c>
      <c r="L199" s="7">
        <v>0</v>
      </c>
      <c r="N199" s="24">
        <v>1</v>
      </c>
      <c r="O199" s="7">
        <v>1</v>
      </c>
      <c r="Q199" s="7" t="s">
        <v>149</v>
      </c>
      <c r="R199" s="7" t="s">
        <v>149</v>
      </c>
      <c r="S199" s="15">
        <v>24</v>
      </c>
      <c r="T199" s="7" t="str">
        <f t="shared" si="258"/>
        <v>赤暖</v>
      </c>
      <c r="U199" s="7" t="str">
        <f t="shared" ref="U199:Z199" si="289">T199</f>
        <v>赤暖</v>
      </c>
      <c r="V199" s="7" t="str">
        <f t="shared" si="289"/>
        <v>赤暖</v>
      </c>
      <c r="W199" s="7" t="str">
        <f t="shared" si="289"/>
        <v>赤暖</v>
      </c>
      <c r="X199" s="7" t="str">
        <f t="shared" si="289"/>
        <v>赤暖</v>
      </c>
      <c r="Y199" s="7" t="str">
        <f t="shared" si="289"/>
        <v>赤暖</v>
      </c>
      <c r="Z199" s="7" t="str">
        <f t="shared" si="289"/>
        <v>赤暖</v>
      </c>
      <c r="AA199" s="7" t="s">
        <v>81</v>
      </c>
      <c r="AB199" s="7" t="str">
        <f t="shared" ref="AB199:AH199" si="290">AA199</f>
        <v>无</v>
      </c>
      <c r="AC199" s="7" t="str">
        <f t="shared" si="290"/>
        <v>无</v>
      </c>
      <c r="AD199" s="7" t="str">
        <f t="shared" si="290"/>
        <v>无</v>
      </c>
      <c r="AE199" s="7" t="str">
        <f t="shared" si="290"/>
        <v>无</v>
      </c>
      <c r="AF199" s="7" t="str">
        <f t="shared" si="290"/>
        <v>无</v>
      </c>
      <c r="AG199" s="7" t="str">
        <f t="shared" si="290"/>
        <v>无</v>
      </c>
      <c r="AH199" s="7" t="str">
        <f t="shared" si="290"/>
        <v>无</v>
      </c>
      <c r="AI199" s="15">
        <v>1</v>
      </c>
      <c r="AJ199" s="15">
        <v>2</v>
      </c>
      <c r="AK199" s="15">
        <v>3</v>
      </c>
      <c r="AL199" s="15">
        <v>4</v>
      </c>
      <c r="AM199" s="15">
        <v>5</v>
      </c>
      <c r="AN199" s="15">
        <v>6</v>
      </c>
      <c r="AO199" s="15">
        <v>7</v>
      </c>
      <c r="AP199" s="15"/>
    </row>
    <row r="200" s="7" customFormat="1" spans="1:42">
      <c r="A200" s="15">
        <v>161031</v>
      </c>
      <c r="B200" s="15" t="s">
        <v>436</v>
      </c>
      <c r="C200" s="15" t="s">
        <v>436</v>
      </c>
      <c r="D200" s="16" t="s">
        <v>97</v>
      </c>
      <c r="E200" s="7">
        <v>2491</v>
      </c>
      <c r="F200" s="7">
        <v>-1</v>
      </c>
      <c r="G200" s="7">
        <v>0</v>
      </c>
      <c r="H200" s="7">
        <v>0</v>
      </c>
      <c r="I200" s="15" t="s">
        <v>43</v>
      </c>
      <c r="J200" s="7">
        <v>-1</v>
      </c>
      <c r="K200" s="7">
        <v>0</v>
      </c>
      <c r="L200" s="7">
        <v>0</v>
      </c>
      <c r="N200" s="24">
        <v>1</v>
      </c>
      <c r="O200" s="7">
        <v>1</v>
      </c>
      <c r="Q200" s="7" t="s">
        <v>149</v>
      </c>
      <c r="R200" s="7" t="s">
        <v>149</v>
      </c>
      <c r="S200" s="15">
        <v>25</v>
      </c>
      <c r="T200" s="7" t="str">
        <f t="shared" si="258"/>
        <v>真炎</v>
      </c>
      <c r="U200" s="7" t="str">
        <f t="shared" ref="U200:Z200" si="291">T200</f>
        <v>真炎</v>
      </c>
      <c r="V200" s="7" t="str">
        <f t="shared" si="291"/>
        <v>真炎</v>
      </c>
      <c r="W200" s="7" t="str">
        <f t="shared" si="291"/>
        <v>真炎</v>
      </c>
      <c r="X200" s="7" t="str">
        <f t="shared" si="291"/>
        <v>真炎</v>
      </c>
      <c r="Y200" s="7" t="str">
        <f t="shared" si="291"/>
        <v>真炎</v>
      </c>
      <c r="Z200" s="7" t="str">
        <f t="shared" si="291"/>
        <v>真炎</v>
      </c>
      <c r="AA200" s="7" t="s">
        <v>81</v>
      </c>
      <c r="AB200" s="7" t="str">
        <f t="shared" ref="AB200:AH200" si="292">AA200</f>
        <v>无</v>
      </c>
      <c r="AC200" s="7" t="str">
        <f t="shared" si="292"/>
        <v>无</v>
      </c>
      <c r="AD200" s="7" t="str">
        <f t="shared" si="292"/>
        <v>无</v>
      </c>
      <c r="AE200" s="7" t="str">
        <f t="shared" si="292"/>
        <v>无</v>
      </c>
      <c r="AF200" s="7" t="str">
        <f t="shared" si="292"/>
        <v>无</v>
      </c>
      <c r="AG200" s="7" t="str">
        <f t="shared" si="292"/>
        <v>无</v>
      </c>
      <c r="AH200" s="7" t="str">
        <f t="shared" si="292"/>
        <v>无</v>
      </c>
      <c r="AI200" s="15">
        <v>1</v>
      </c>
      <c r="AJ200" s="15">
        <v>2</v>
      </c>
      <c r="AK200" s="15">
        <v>3</v>
      </c>
      <c r="AL200" s="15">
        <v>4</v>
      </c>
      <c r="AM200" s="15">
        <v>5</v>
      </c>
      <c r="AN200" s="15">
        <v>6</v>
      </c>
      <c r="AO200" s="15">
        <v>7</v>
      </c>
      <c r="AP200" s="15"/>
    </row>
    <row r="201" s="7" customFormat="1" spans="1:42">
      <c r="A201" s="15">
        <v>161032</v>
      </c>
      <c r="B201" s="15" t="s">
        <v>437</v>
      </c>
      <c r="C201" s="15" t="s">
        <v>437</v>
      </c>
      <c r="D201" s="17" t="s">
        <v>89</v>
      </c>
      <c r="E201" s="7">
        <v>2492</v>
      </c>
      <c r="F201" s="7">
        <v>-1</v>
      </c>
      <c r="G201" s="7">
        <v>0</v>
      </c>
      <c r="H201" s="7">
        <v>0</v>
      </c>
      <c r="I201" s="15" t="s">
        <v>43</v>
      </c>
      <c r="J201" s="7">
        <v>-1</v>
      </c>
      <c r="K201" s="7">
        <v>0</v>
      </c>
      <c r="L201" s="7">
        <v>0</v>
      </c>
      <c r="N201" s="24">
        <v>1</v>
      </c>
      <c r="O201" s="7">
        <v>1</v>
      </c>
      <c r="Q201" s="7" t="s">
        <v>149</v>
      </c>
      <c r="R201" s="7" t="s">
        <v>149</v>
      </c>
      <c r="S201" s="15">
        <v>26</v>
      </c>
      <c r="T201" s="7" t="str">
        <f t="shared" si="258"/>
        <v>焚尽</v>
      </c>
      <c r="U201" s="7" t="str">
        <f t="shared" ref="U201:Z201" si="293">T201</f>
        <v>焚尽</v>
      </c>
      <c r="V201" s="7" t="str">
        <f t="shared" si="293"/>
        <v>焚尽</v>
      </c>
      <c r="W201" s="7" t="str">
        <f t="shared" si="293"/>
        <v>焚尽</v>
      </c>
      <c r="X201" s="7" t="str">
        <f t="shared" si="293"/>
        <v>焚尽</v>
      </c>
      <c r="Y201" s="7" t="str">
        <f t="shared" si="293"/>
        <v>焚尽</v>
      </c>
      <c r="Z201" s="7" t="str">
        <f t="shared" si="293"/>
        <v>焚尽</v>
      </c>
      <c r="AA201" s="7" t="s">
        <v>81</v>
      </c>
      <c r="AB201" s="7" t="str">
        <f t="shared" ref="AB201:AH201" si="294">AA201</f>
        <v>无</v>
      </c>
      <c r="AC201" s="7" t="str">
        <f t="shared" si="294"/>
        <v>无</v>
      </c>
      <c r="AD201" s="7" t="str">
        <f t="shared" si="294"/>
        <v>无</v>
      </c>
      <c r="AE201" s="7" t="str">
        <f t="shared" si="294"/>
        <v>无</v>
      </c>
      <c r="AF201" s="7" t="str">
        <f t="shared" si="294"/>
        <v>无</v>
      </c>
      <c r="AG201" s="7" t="str">
        <f t="shared" si="294"/>
        <v>无</v>
      </c>
      <c r="AH201" s="7" t="str">
        <f t="shared" si="294"/>
        <v>无</v>
      </c>
      <c r="AI201" s="15">
        <v>1</v>
      </c>
      <c r="AJ201" s="15">
        <v>2</v>
      </c>
      <c r="AK201" s="15">
        <v>3</v>
      </c>
      <c r="AL201" s="15">
        <v>4</v>
      </c>
      <c r="AM201" s="15">
        <v>5</v>
      </c>
      <c r="AN201" s="15">
        <v>6</v>
      </c>
      <c r="AO201" s="15">
        <v>7</v>
      </c>
      <c r="AP201" s="15"/>
    </row>
    <row r="202" s="7" customFormat="1" spans="1:42">
      <c r="A202" s="15">
        <v>161033</v>
      </c>
      <c r="B202" s="15" t="s">
        <v>438</v>
      </c>
      <c r="C202" s="15" t="s">
        <v>438</v>
      </c>
      <c r="D202" s="17" t="s">
        <v>103</v>
      </c>
      <c r="E202" s="7">
        <v>2493</v>
      </c>
      <c r="F202" s="7">
        <v>-1</v>
      </c>
      <c r="G202" s="7">
        <v>0</v>
      </c>
      <c r="H202" s="7">
        <v>0</v>
      </c>
      <c r="I202" s="15" t="s">
        <v>43</v>
      </c>
      <c r="J202" s="7">
        <v>-1</v>
      </c>
      <c r="K202" s="7">
        <v>0</v>
      </c>
      <c r="L202" s="7">
        <v>0</v>
      </c>
      <c r="N202" s="24">
        <v>1</v>
      </c>
      <c r="O202" s="7">
        <v>1</v>
      </c>
      <c r="Q202" s="7" t="s">
        <v>149</v>
      </c>
      <c r="R202" s="7" t="s">
        <v>149</v>
      </c>
      <c r="S202" s="15">
        <v>27</v>
      </c>
      <c r="T202" s="7" t="str">
        <f t="shared" si="258"/>
        <v>燃魂</v>
      </c>
      <c r="U202" s="7" t="str">
        <f t="shared" ref="U202:Z202" si="295">T202</f>
        <v>燃魂</v>
      </c>
      <c r="V202" s="7" t="str">
        <f t="shared" si="295"/>
        <v>燃魂</v>
      </c>
      <c r="W202" s="7" t="str">
        <f t="shared" si="295"/>
        <v>燃魂</v>
      </c>
      <c r="X202" s="7" t="str">
        <f t="shared" si="295"/>
        <v>燃魂</v>
      </c>
      <c r="Y202" s="7" t="str">
        <f t="shared" si="295"/>
        <v>燃魂</v>
      </c>
      <c r="Z202" s="7" t="str">
        <f t="shared" si="295"/>
        <v>燃魂</v>
      </c>
      <c r="AA202" s="7" t="s">
        <v>81</v>
      </c>
      <c r="AB202" s="7" t="str">
        <f t="shared" ref="AB202:AH202" si="296">AA202</f>
        <v>无</v>
      </c>
      <c r="AC202" s="7" t="str">
        <f t="shared" si="296"/>
        <v>无</v>
      </c>
      <c r="AD202" s="7" t="str">
        <f t="shared" si="296"/>
        <v>无</v>
      </c>
      <c r="AE202" s="7" t="str">
        <f t="shared" si="296"/>
        <v>无</v>
      </c>
      <c r="AF202" s="7" t="str">
        <f t="shared" si="296"/>
        <v>无</v>
      </c>
      <c r="AG202" s="7" t="str">
        <f t="shared" si="296"/>
        <v>无</v>
      </c>
      <c r="AH202" s="7" t="str">
        <f t="shared" si="296"/>
        <v>无</v>
      </c>
      <c r="AI202" s="15">
        <v>1</v>
      </c>
      <c r="AJ202" s="15">
        <v>2</v>
      </c>
      <c r="AK202" s="15">
        <v>3</v>
      </c>
      <c r="AL202" s="15">
        <v>4</v>
      </c>
      <c r="AM202" s="15">
        <v>5</v>
      </c>
      <c r="AN202" s="15">
        <v>6</v>
      </c>
      <c r="AO202" s="15">
        <v>7</v>
      </c>
      <c r="AP202" s="15"/>
    </row>
    <row r="203" s="7" customFormat="1" spans="1:42">
      <c r="A203" s="15">
        <v>161034</v>
      </c>
      <c r="B203" s="15" t="s">
        <v>439</v>
      </c>
      <c r="C203" s="15" t="s">
        <v>439</v>
      </c>
      <c r="D203" s="17" t="s">
        <v>95</v>
      </c>
      <c r="E203" s="7">
        <v>2494</v>
      </c>
      <c r="F203" s="7">
        <v>-1</v>
      </c>
      <c r="G203" s="7">
        <v>0</v>
      </c>
      <c r="H203" s="7">
        <v>0</v>
      </c>
      <c r="I203" s="15" t="s">
        <v>43</v>
      </c>
      <c r="J203" s="7">
        <v>-1</v>
      </c>
      <c r="K203" s="7">
        <v>0</v>
      </c>
      <c r="L203" s="7">
        <v>0</v>
      </c>
      <c r="N203" s="24">
        <v>1</v>
      </c>
      <c r="O203" s="7">
        <v>1</v>
      </c>
      <c r="Q203" s="7" t="s">
        <v>149</v>
      </c>
      <c r="R203" s="7" t="s">
        <v>149</v>
      </c>
      <c r="S203" s="15">
        <v>28</v>
      </c>
      <c r="T203" s="7" t="str">
        <f t="shared" si="258"/>
        <v>魔心</v>
      </c>
      <c r="U203" s="7" t="str">
        <f t="shared" ref="U203:Z203" si="297">T203</f>
        <v>魔心</v>
      </c>
      <c r="V203" s="7" t="str">
        <f t="shared" si="297"/>
        <v>魔心</v>
      </c>
      <c r="W203" s="7" t="str">
        <f t="shared" si="297"/>
        <v>魔心</v>
      </c>
      <c r="X203" s="7" t="str">
        <f t="shared" si="297"/>
        <v>魔心</v>
      </c>
      <c r="Y203" s="7" t="str">
        <f t="shared" si="297"/>
        <v>魔心</v>
      </c>
      <c r="Z203" s="7" t="str">
        <f t="shared" si="297"/>
        <v>魔心</v>
      </c>
      <c r="AA203" s="7" t="s">
        <v>81</v>
      </c>
      <c r="AB203" s="7" t="str">
        <f t="shared" ref="AB203:AH203" si="298">AA203</f>
        <v>无</v>
      </c>
      <c r="AC203" s="7" t="str">
        <f t="shared" si="298"/>
        <v>无</v>
      </c>
      <c r="AD203" s="7" t="str">
        <f t="shared" si="298"/>
        <v>无</v>
      </c>
      <c r="AE203" s="7" t="str">
        <f t="shared" si="298"/>
        <v>无</v>
      </c>
      <c r="AF203" s="7" t="str">
        <f t="shared" si="298"/>
        <v>无</v>
      </c>
      <c r="AG203" s="7" t="str">
        <f t="shared" si="298"/>
        <v>无</v>
      </c>
      <c r="AH203" s="7" t="str">
        <f t="shared" si="298"/>
        <v>无</v>
      </c>
      <c r="AI203" s="15">
        <v>1</v>
      </c>
      <c r="AJ203" s="15">
        <v>2</v>
      </c>
      <c r="AK203" s="15">
        <v>3</v>
      </c>
      <c r="AL203" s="15">
        <v>4</v>
      </c>
      <c r="AM203" s="15">
        <v>5</v>
      </c>
      <c r="AN203" s="15">
        <v>6</v>
      </c>
      <c r="AO203" s="15">
        <v>7</v>
      </c>
      <c r="AP203" s="15"/>
    </row>
    <row r="204" s="7" customFormat="1" spans="1:42">
      <c r="A204" s="15">
        <v>161035</v>
      </c>
      <c r="B204" s="15" t="s">
        <v>440</v>
      </c>
      <c r="C204" s="15" t="s">
        <v>440</v>
      </c>
      <c r="D204" s="20" t="s">
        <v>113</v>
      </c>
      <c r="E204" s="7">
        <v>2380</v>
      </c>
      <c r="F204" s="7">
        <v>-1</v>
      </c>
      <c r="G204" s="7">
        <v>0</v>
      </c>
      <c r="H204" s="7">
        <v>0</v>
      </c>
      <c r="I204" s="15" t="s">
        <v>43</v>
      </c>
      <c r="J204" s="7">
        <v>-1</v>
      </c>
      <c r="K204" s="7">
        <v>0</v>
      </c>
      <c r="L204" s="7">
        <v>0</v>
      </c>
      <c r="N204" s="24">
        <v>1</v>
      </c>
      <c r="O204" s="7">
        <v>1</v>
      </c>
      <c r="Q204" s="7" t="s">
        <v>149</v>
      </c>
      <c r="R204" s="7" t="s">
        <v>149</v>
      </c>
      <c r="S204" s="15">
        <v>29</v>
      </c>
      <c r="T204" s="7" t="str">
        <f t="shared" si="258"/>
        <v>平天大圣</v>
      </c>
      <c r="U204" s="7" t="str">
        <f t="shared" ref="U204:Z204" si="299">T204</f>
        <v>平天大圣</v>
      </c>
      <c r="V204" s="7" t="str">
        <f t="shared" si="299"/>
        <v>平天大圣</v>
      </c>
      <c r="W204" s="7" t="str">
        <f t="shared" si="299"/>
        <v>平天大圣</v>
      </c>
      <c r="X204" s="7" t="str">
        <f t="shared" si="299"/>
        <v>平天大圣</v>
      </c>
      <c r="Y204" s="7" t="str">
        <f t="shared" si="299"/>
        <v>平天大圣</v>
      </c>
      <c r="Z204" s="7" t="str">
        <f t="shared" si="299"/>
        <v>平天大圣</v>
      </c>
      <c r="AA204" s="7" t="s">
        <v>81</v>
      </c>
      <c r="AB204" s="7" t="str">
        <f t="shared" ref="AB204:AH204" si="300">AA204</f>
        <v>无</v>
      </c>
      <c r="AC204" s="7" t="str">
        <f t="shared" si="300"/>
        <v>无</v>
      </c>
      <c r="AD204" s="7" t="str">
        <f t="shared" si="300"/>
        <v>无</v>
      </c>
      <c r="AE204" s="7" t="str">
        <f t="shared" si="300"/>
        <v>无</v>
      </c>
      <c r="AF204" s="7" t="str">
        <f t="shared" si="300"/>
        <v>无</v>
      </c>
      <c r="AG204" s="7" t="str">
        <f t="shared" si="300"/>
        <v>无</v>
      </c>
      <c r="AH204" s="7" t="str">
        <f t="shared" si="300"/>
        <v>无</v>
      </c>
      <c r="AI204" s="15">
        <v>1</v>
      </c>
      <c r="AJ204" s="15">
        <v>2</v>
      </c>
      <c r="AK204" s="15">
        <v>3</v>
      </c>
      <c r="AL204" s="15">
        <v>4</v>
      </c>
      <c r="AM204" s="15">
        <v>5</v>
      </c>
      <c r="AN204" s="15">
        <v>6</v>
      </c>
      <c r="AO204" s="15">
        <v>7</v>
      </c>
      <c r="AP204" s="15"/>
    </row>
    <row r="205" s="8" customFormat="1" spans="1:42">
      <c r="A205" s="21">
        <v>162000</v>
      </c>
      <c r="B205" s="22" t="s">
        <v>441</v>
      </c>
      <c r="C205" s="22" t="s">
        <v>441</v>
      </c>
      <c r="D205" s="23" t="s">
        <v>442</v>
      </c>
      <c r="E205" s="8">
        <v>73</v>
      </c>
      <c r="F205" s="8">
        <v>-1</v>
      </c>
      <c r="G205" s="8">
        <v>0</v>
      </c>
      <c r="H205" s="8">
        <v>0</v>
      </c>
      <c r="I205" s="25" t="s">
        <v>43</v>
      </c>
      <c r="J205" s="8">
        <v>-1</v>
      </c>
      <c r="K205" s="8">
        <v>0</v>
      </c>
      <c r="L205" s="8">
        <v>0</v>
      </c>
      <c r="N205" s="26">
        <v>1</v>
      </c>
      <c r="O205" s="8">
        <v>1</v>
      </c>
      <c r="Q205" s="23" t="s">
        <v>442</v>
      </c>
      <c r="R205" s="23" t="s">
        <v>443</v>
      </c>
      <c r="S205" s="25">
        <v>1</v>
      </c>
      <c r="T205" s="23" t="s">
        <v>443</v>
      </c>
      <c r="U205" s="23" t="s">
        <v>443</v>
      </c>
      <c r="V205" s="23" t="s">
        <v>443</v>
      </c>
      <c r="W205" s="23" t="s">
        <v>443</v>
      </c>
      <c r="X205" s="23" t="s">
        <v>443</v>
      </c>
      <c r="Y205" s="23" t="s">
        <v>443</v>
      </c>
      <c r="Z205" s="23" t="s">
        <v>443</v>
      </c>
      <c r="AA205" s="23" t="s">
        <v>444</v>
      </c>
      <c r="AB205" s="23" t="s">
        <v>444</v>
      </c>
      <c r="AC205" s="23" t="s">
        <v>444</v>
      </c>
      <c r="AD205" s="23" t="s">
        <v>444</v>
      </c>
      <c r="AE205" s="23" t="s">
        <v>444</v>
      </c>
      <c r="AF205" s="23" t="s">
        <v>444</v>
      </c>
      <c r="AG205" s="23" t="s">
        <v>444</v>
      </c>
      <c r="AH205" s="23" t="s">
        <v>444</v>
      </c>
      <c r="AI205" s="8">
        <v>1</v>
      </c>
      <c r="AJ205" s="8">
        <v>200</v>
      </c>
      <c r="AK205" s="8">
        <v>200</v>
      </c>
      <c r="AL205" s="8">
        <v>200</v>
      </c>
      <c r="AM205" s="8">
        <v>200</v>
      </c>
      <c r="AN205" s="8">
        <v>200</v>
      </c>
      <c r="AO205" s="8">
        <v>200</v>
      </c>
      <c r="AP205" s="25"/>
    </row>
    <row r="206" s="8" customFormat="1" spans="1:42">
      <c r="A206" s="21">
        <v>162001</v>
      </c>
      <c r="B206" s="22" t="s">
        <v>445</v>
      </c>
      <c r="C206" s="22" t="s">
        <v>445</v>
      </c>
      <c r="D206" s="23" t="s">
        <v>446</v>
      </c>
      <c r="E206" s="8">
        <v>74</v>
      </c>
      <c r="F206" s="8">
        <v>100</v>
      </c>
      <c r="G206" s="8">
        <v>1.2</v>
      </c>
      <c r="H206" s="8">
        <v>10</v>
      </c>
      <c r="I206" s="25" t="s">
        <v>49</v>
      </c>
      <c r="J206" s="8">
        <v>-1</v>
      </c>
      <c r="K206" s="8">
        <v>0</v>
      </c>
      <c r="L206" s="8">
        <v>0</v>
      </c>
      <c r="N206" s="26">
        <v>480</v>
      </c>
      <c r="O206" s="8">
        <v>1</v>
      </c>
      <c r="Q206" s="23" t="s">
        <v>446</v>
      </c>
      <c r="R206" s="23" t="s">
        <v>447</v>
      </c>
      <c r="S206" s="25">
        <v>2</v>
      </c>
      <c r="T206" s="23" t="s">
        <v>447</v>
      </c>
      <c r="U206" s="23" t="s">
        <v>447</v>
      </c>
      <c r="V206" s="23" t="s">
        <v>447</v>
      </c>
      <c r="W206" s="23" t="s">
        <v>447</v>
      </c>
      <c r="X206" s="23" t="s">
        <v>447</v>
      </c>
      <c r="Y206" s="23" t="s">
        <v>447</v>
      </c>
      <c r="Z206" s="23" t="s">
        <v>447</v>
      </c>
      <c r="AA206" s="23" t="s">
        <v>448</v>
      </c>
      <c r="AB206" s="23" t="s">
        <v>449</v>
      </c>
      <c r="AC206" s="23" t="s">
        <v>449</v>
      </c>
      <c r="AD206" s="23" t="s">
        <v>449</v>
      </c>
      <c r="AE206" s="23" t="s">
        <v>449</v>
      </c>
      <c r="AF206" s="23" t="s">
        <v>449</v>
      </c>
      <c r="AG206" s="23" t="s">
        <v>449</v>
      </c>
      <c r="AH206" s="23" t="s">
        <v>449</v>
      </c>
      <c r="AI206" s="8">
        <v>1</v>
      </c>
      <c r="AJ206" s="8">
        <v>40</v>
      </c>
      <c r="AK206" s="8">
        <v>70</v>
      </c>
      <c r="AL206" s="8">
        <v>200</v>
      </c>
      <c r="AM206" s="8">
        <v>200</v>
      </c>
      <c r="AN206" s="8">
        <v>200</v>
      </c>
      <c r="AO206" s="8">
        <v>200</v>
      </c>
      <c r="AP206" s="25"/>
    </row>
    <row r="207" s="8" customFormat="1" spans="1:42">
      <c r="A207" s="21">
        <v>162002</v>
      </c>
      <c r="B207" s="22" t="s">
        <v>450</v>
      </c>
      <c r="C207" s="22" t="s">
        <v>450</v>
      </c>
      <c r="D207" s="23" t="s">
        <v>451</v>
      </c>
      <c r="E207" s="8">
        <v>75</v>
      </c>
      <c r="F207" s="8">
        <v>100</v>
      </c>
      <c r="G207" s="8">
        <v>1.2</v>
      </c>
      <c r="H207" s="8">
        <v>10</v>
      </c>
      <c r="I207" s="25" t="s">
        <v>49</v>
      </c>
      <c r="J207" s="8">
        <v>-1</v>
      </c>
      <c r="K207" s="8">
        <v>0</v>
      </c>
      <c r="L207" s="8">
        <v>0</v>
      </c>
      <c r="N207" s="26">
        <v>480</v>
      </c>
      <c r="O207" s="8">
        <v>1</v>
      </c>
      <c r="Q207" s="23" t="s">
        <v>451</v>
      </c>
      <c r="R207" s="23" t="s">
        <v>452</v>
      </c>
      <c r="S207" s="25">
        <v>3</v>
      </c>
      <c r="T207" s="23" t="s">
        <v>452</v>
      </c>
      <c r="U207" s="23" t="s">
        <v>452</v>
      </c>
      <c r="V207" s="23" t="s">
        <v>452</v>
      </c>
      <c r="W207" s="23" t="s">
        <v>452</v>
      </c>
      <c r="X207" s="23" t="s">
        <v>452</v>
      </c>
      <c r="Y207" s="23" t="s">
        <v>452</v>
      </c>
      <c r="Z207" s="23" t="s">
        <v>452</v>
      </c>
      <c r="AA207" s="23" t="s">
        <v>183</v>
      </c>
      <c r="AB207" s="23" t="s">
        <v>183</v>
      </c>
      <c r="AC207" s="23" t="s">
        <v>183</v>
      </c>
      <c r="AD207" s="23" t="s">
        <v>183</v>
      </c>
      <c r="AE207" s="23" t="s">
        <v>183</v>
      </c>
      <c r="AF207" s="23" t="s">
        <v>183</v>
      </c>
      <c r="AG207" s="23" t="s">
        <v>183</v>
      </c>
      <c r="AH207" s="23" t="s">
        <v>183</v>
      </c>
      <c r="AI207" s="8">
        <v>1</v>
      </c>
      <c r="AJ207" s="8">
        <v>200</v>
      </c>
      <c r="AK207" s="8">
        <v>200</v>
      </c>
      <c r="AL207" s="8">
        <v>200</v>
      </c>
      <c r="AM207" s="8">
        <v>200</v>
      </c>
      <c r="AN207" s="8">
        <v>200</v>
      </c>
      <c r="AO207" s="8">
        <v>200</v>
      </c>
      <c r="AP207" s="25"/>
    </row>
    <row r="208" s="8" customFormat="1" spans="1:42">
      <c r="A208" s="21">
        <v>162003</v>
      </c>
      <c r="B208" s="22" t="s">
        <v>453</v>
      </c>
      <c r="C208" s="22" t="s">
        <v>453</v>
      </c>
      <c r="D208" s="23" t="s">
        <v>454</v>
      </c>
      <c r="E208" s="8">
        <v>76</v>
      </c>
      <c r="F208" s="8">
        <v>100</v>
      </c>
      <c r="G208" s="8">
        <v>0</v>
      </c>
      <c r="H208" s="8">
        <v>0</v>
      </c>
      <c r="I208" s="25" t="s">
        <v>43</v>
      </c>
      <c r="J208" s="8">
        <v>-1</v>
      </c>
      <c r="K208" s="8">
        <v>0</v>
      </c>
      <c r="L208" s="8">
        <v>0</v>
      </c>
      <c r="N208" s="26">
        <v>480</v>
      </c>
      <c r="O208" s="8">
        <v>1</v>
      </c>
      <c r="Q208" s="23" t="s">
        <v>454</v>
      </c>
      <c r="R208" s="23" t="s">
        <v>455</v>
      </c>
      <c r="S208" s="25">
        <v>4</v>
      </c>
      <c r="T208" s="23" t="s">
        <v>455</v>
      </c>
      <c r="U208" s="23" t="s">
        <v>455</v>
      </c>
      <c r="V208" s="23" t="s">
        <v>455</v>
      </c>
      <c r="W208" s="23" t="s">
        <v>455</v>
      </c>
      <c r="X208" s="23" t="s">
        <v>455</v>
      </c>
      <c r="Y208" s="23" t="s">
        <v>455</v>
      </c>
      <c r="Z208" s="23" t="s">
        <v>455</v>
      </c>
      <c r="AA208" s="23" t="s">
        <v>400</v>
      </c>
      <c r="AB208" s="23" t="s">
        <v>400</v>
      </c>
      <c r="AC208" s="23" t="s">
        <v>400</v>
      </c>
      <c r="AD208" s="23" t="s">
        <v>400</v>
      </c>
      <c r="AE208" s="23" t="s">
        <v>400</v>
      </c>
      <c r="AF208" s="23" t="s">
        <v>400</v>
      </c>
      <c r="AG208" s="23" t="s">
        <v>400</v>
      </c>
      <c r="AH208" s="23" t="s">
        <v>400</v>
      </c>
      <c r="AI208" s="8">
        <v>1</v>
      </c>
      <c r="AJ208" s="8">
        <v>200</v>
      </c>
      <c r="AK208" s="8">
        <v>200</v>
      </c>
      <c r="AL208" s="8">
        <v>200</v>
      </c>
      <c r="AM208" s="8">
        <v>200</v>
      </c>
      <c r="AN208" s="8">
        <v>200</v>
      </c>
      <c r="AO208" s="8">
        <v>200</v>
      </c>
      <c r="AP208" s="25"/>
    </row>
    <row r="209" s="8" customFormat="1" spans="1:42">
      <c r="A209" s="21">
        <v>162004</v>
      </c>
      <c r="B209" s="22" t="s">
        <v>456</v>
      </c>
      <c r="C209" s="22" t="s">
        <v>456</v>
      </c>
      <c r="D209" s="23" t="s">
        <v>457</v>
      </c>
      <c r="E209" s="8">
        <v>77</v>
      </c>
      <c r="F209" s="8">
        <v>100</v>
      </c>
      <c r="G209" s="8">
        <v>1.2</v>
      </c>
      <c r="H209" s="8">
        <v>10</v>
      </c>
      <c r="I209" s="25" t="s">
        <v>49</v>
      </c>
      <c r="J209" s="8">
        <v>-1</v>
      </c>
      <c r="K209" s="8">
        <v>0</v>
      </c>
      <c r="L209" s="8">
        <v>0</v>
      </c>
      <c r="N209" s="26">
        <v>1</v>
      </c>
      <c r="O209" s="8">
        <v>1</v>
      </c>
      <c r="Q209" s="23" t="s">
        <v>457</v>
      </c>
      <c r="R209" s="23" t="s">
        <v>458</v>
      </c>
      <c r="S209" s="25">
        <v>5</v>
      </c>
      <c r="T209" s="23" t="s">
        <v>458</v>
      </c>
      <c r="U209" s="23" t="s">
        <v>458</v>
      </c>
      <c r="V209" s="23" t="s">
        <v>458</v>
      </c>
      <c r="W209" s="23" t="s">
        <v>458</v>
      </c>
      <c r="X209" s="23" t="s">
        <v>458</v>
      </c>
      <c r="Y209" s="23" t="s">
        <v>458</v>
      </c>
      <c r="Z209" s="23" t="s">
        <v>458</v>
      </c>
      <c r="AA209" s="23" t="s">
        <v>404</v>
      </c>
      <c r="AB209" s="23" t="s">
        <v>404</v>
      </c>
      <c r="AC209" s="23" t="s">
        <v>404</v>
      </c>
      <c r="AD209" s="23" t="s">
        <v>404</v>
      </c>
      <c r="AE209" s="23" t="s">
        <v>404</v>
      </c>
      <c r="AF209" s="23" t="s">
        <v>404</v>
      </c>
      <c r="AG209" s="23" t="s">
        <v>404</v>
      </c>
      <c r="AH209" s="23" t="s">
        <v>404</v>
      </c>
      <c r="AI209" s="8">
        <v>1</v>
      </c>
      <c r="AJ209" s="8">
        <v>200</v>
      </c>
      <c r="AK209" s="8">
        <v>200</v>
      </c>
      <c r="AL209" s="8">
        <v>200</v>
      </c>
      <c r="AM209" s="8">
        <v>200</v>
      </c>
      <c r="AN209" s="8">
        <v>200</v>
      </c>
      <c r="AO209" s="8">
        <v>200</v>
      </c>
      <c r="AP209" s="25"/>
    </row>
    <row r="210" s="8" customFormat="1" spans="1:42">
      <c r="A210" s="21">
        <v>162005</v>
      </c>
      <c r="B210" s="22" t="s">
        <v>459</v>
      </c>
      <c r="C210" s="22" t="s">
        <v>459</v>
      </c>
      <c r="D210" s="23" t="s">
        <v>460</v>
      </c>
      <c r="E210" s="8">
        <v>78</v>
      </c>
      <c r="F210" s="8">
        <v>100</v>
      </c>
      <c r="G210" s="8">
        <v>1.2</v>
      </c>
      <c r="H210" s="8">
        <v>10</v>
      </c>
      <c r="I210" s="25" t="s">
        <v>49</v>
      </c>
      <c r="J210" s="8">
        <v>-1</v>
      </c>
      <c r="K210" s="8">
        <v>0</v>
      </c>
      <c r="L210" s="8">
        <v>0</v>
      </c>
      <c r="N210" s="26">
        <v>480</v>
      </c>
      <c r="O210" s="8">
        <v>1</v>
      </c>
      <c r="Q210" s="23" t="s">
        <v>460</v>
      </c>
      <c r="R210" s="23" t="s">
        <v>461</v>
      </c>
      <c r="S210" s="25">
        <v>6</v>
      </c>
      <c r="T210" s="23" t="s">
        <v>461</v>
      </c>
      <c r="U210" s="23" t="s">
        <v>461</v>
      </c>
      <c r="V210" s="23" t="s">
        <v>461</v>
      </c>
      <c r="W210" s="23" t="s">
        <v>461</v>
      </c>
      <c r="X210" s="23" t="s">
        <v>461</v>
      </c>
      <c r="Y210" s="23" t="s">
        <v>461</v>
      </c>
      <c r="Z210" s="23" t="s">
        <v>461</v>
      </c>
      <c r="AA210" s="23" t="s">
        <v>462</v>
      </c>
      <c r="AB210" s="23" t="s">
        <v>462</v>
      </c>
      <c r="AC210" s="23" t="s">
        <v>462</v>
      </c>
      <c r="AD210" s="23" t="s">
        <v>462</v>
      </c>
      <c r="AE210" s="23" t="s">
        <v>462</v>
      </c>
      <c r="AF210" s="23" t="s">
        <v>462</v>
      </c>
      <c r="AG210" s="23" t="s">
        <v>462</v>
      </c>
      <c r="AH210" s="23" t="s">
        <v>462</v>
      </c>
      <c r="AI210" s="8">
        <v>1</v>
      </c>
      <c r="AJ210" s="8">
        <v>200</v>
      </c>
      <c r="AK210" s="8">
        <v>200</v>
      </c>
      <c r="AL210" s="8">
        <v>200</v>
      </c>
      <c r="AM210" s="8">
        <v>200</v>
      </c>
      <c r="AN210" s="8">
        <v>200</v>
      </c>
      <c r="AO210" s="8">
        <v>200</v>
      </c>
      <c r="AP210" s="25"/>
    </row>
    <row r="211" s="8" customFormat="1" spans="1:42">
      <c r="A211" s="21">
        <v>162006</v>
      </c>
      <c r="B211" s="22" t="s">
        <v>463</v>
      </c>
      <c r="C211" s="22" t="s">
        <v>463</v>
      </c>
      <c r="D211" s="23" t="s">
        <v>464</v>
      </c>
      <c r="E211" s="8">
        <v>79</v>
      </c>
      <c r="F211" s="8">
        <v>-1</v>
      </c>
      <c r="G211" s="8">
        <v>0.667</v>
      </c>
      <c r="H211" s="8">
        <v>6</v>
      </c>
      <c r="I211" s="25" t="s">
        <v>71</v>
      </c>
      <c r="J211" s="8">
        <v>-1</v>
      </c>
      <c r="K211" s="8">
        <v>0</v>
      </c>
      <c r="L211" s="8">
        <v>0</v>
      </c>
      <c r="N211" s="26">
        <v>1</v>
      </c>
      <c r="O211" s="8">
        <v>1</v>
      </c>
      <c r="Q211" s="23" t="s">
        <v>464</v>
      </c>
      <c r="R211" s="23" t="s">
        <v>465</v>
      </c>
      <c r="S211" s="25">
        <v>7</v>
      </c>
      <c r="T211" s="23" t="s">
        <v>465</v>
      </c>
      <c r="U211" s="23" t="s">
        <v>465</v>
      </c>
      <c r="V211" s="23" t="s">
        <v>465</v>
      </c>
      <c r="W211" s="23" t="s">
        <v>465</v>
      </c>
      <c r="X211" s="23" t="s">
        <v>465</v>
      </c>
      <c r="Y211" s="23" t="s">
        <v>465</v>
      </c>
      <c r="Z211" s="23" t="s">
        <v>465</v>
      </c>
      <c r="AA211" s="23" t="s">
        <v>466</v>
      </c>
      <c r="AB211" s="23" t="s">
        <v>466</v>
      </c>
      <c r="AC211" s="23" t="s">
        <v>466</v>
      </c>
      <c r="AD211" s="23" t="s">
        <v>466</v>
      </c>
      <c r="AE211" s="23" t="s">
        <v>466</v>
      </c>
      <c r="AF211" s="23" t="s">
        <v>466</v>
      </c>
      <c r="AG211" s="23" t="s">
        <v>466</v>
      </c>
      <c r="AH211" s="23" t="s">
        <v>466</v>
      </c>
      <c r="AI211" s="8">
        <v>1</v>
      </c>
      <c r="AJ211" s="8">
        <v>200</v>
      </c>
      <c r="AK211" s="8">
        <v>200</v>
      </c>
      <c r="AL211" s="8">
        <v>200</v>
      </c>
      <c r="AM211" s="8">
        <v>200</v>
      </c>
      <c r="AN211" s="8">
        <v>200</v>
      </c>
      <c r="AO211" s="8">
        <v>200</v>
      </c>
      <c r="AP211" s="25"/>
    </row>
    <row r="212" s="8" customFormat="1" spans="1:42">
      <c r="A212" s="21">
        <v>162007</v>
      </c>
      <c r="B212" s="22" t="s">
        <v>467</v>
      </c>
      <c r="C212" s="22" t="s">
        <v>467</v>
      </c>
      <c r="D212" s="23" t="s">
        <v>468</v>
      </c>
      <c r="E212" s="8">
        <v>80</v>
      </c>
      <c r="F212" s="8">
        <v>120</v>
      </c>
      <c r="G212" s="8">
        <v>0</v>
      </c>
      <c r="H212" s="8">
        <v>120</v>
      </c>
      <c r="I212" s="25" t="s">
        <v>76</v>
      </c>
      <c r="J212" s="8">
        <v>-1</v>
      </c>
      <c r="K212" s="8">
        <v>0</v>
      </c>
      <c r="L212" s="8">
        <v>0</v>
      </c>
      <c r="N212" s="26">
        <v>480</v>
      </c>
      <c r="O212" s="8">
        <v>1</v>
      </c>
      <c r="Q212" s="23" t="s">
        <v>468</v>
      </c>
      <c r="R212" s="23" t="s">
        <v>469</v>
      </c>
      <c r="S212" s="25">
        <v>8</v>
      </c>
      <c r="T212" s="23" t="s">
        <v>469</v>
      </c>
      <c r="U212" s="23" t="s">
        <v>469</v>
      </c>
      <c r="V212" s="23" t="s">
        <v>469</v>
      </c>
      <c r="W212" s="23" t="s">
        <v>469</v>
      </c>
      <c r="X212" s="23" t="s">
        <v>469</v>
      </c>
      <c r="Y212" s="23" t="s">
        <v>469</v>
      </c>
      <c r="Z212" s="23" t="s">
        <v>469</v>
      </c>
      <c r="AA212" s="23" t="s">
        <v>78</v>
      </c>
      <c r="AB212" s="23" t="s">
        <v>78</v>
      </c>
      <c r="AC212" s="23" t="s">
        <v>78</v>
      </c>
      <c r="AD212" s="23" t="s">
        <v>78</v>
      </c>
      <c r="AE212" s="23" t="s">
        <v>78</v>
      </c>
      <c r="AF212" s="23" t="s">
        <v>78</v>
      </c>
      <c r="AG212" s="23" t="s">
        <v>78</v>
      </c>
      <c r="AH212" s="23" t="s">
        <v>78</v>
      </c>
      <c r="AI212" s="8">
        <v>1</v>
      </c>
      <c r="AJ212" s="8">
        <v>2</v>
      </c>
      <c r="AK212" s="8">
        <v>3</v>
      </c>
      <c r="AL212" s="8">
        <v>4</v>
      </c>
      <c r="AM212" s="8">
        <v>5</v>
      </c>
      <c r="AN212" s="8">
        <v>6</v>
      </c>
      <c r="AO212" s="8">
        <v>7</v>
      </c>
      <c r="AP212" s="25"/>
    </row>
    <row r="213" s="7" customFormat="1" spans="1:42">
      <c r="A213" s="15">
        <v>162012</v>
      </c>
      <c r="B213" s="15" t="s">
        <v>426</v>
      </c>
      <c r="C213" s="15" t="s">
        <v>426</v>
      </c>
      <c r="D213" s="16" t="s">
        <v>80</v>
      </c>
      <c r="E213" s="7">
        <v>2495</v>
      </c>
      <c r="F213" s="7">
        <v>-1</v>
      </c>
      <c r="G213" s="7">
        <v>0</v>
      </c>
      <c r="H213" s="7">
        <v>0</v>
      </c>
      <c r="I213" s="15" t="s">
        <v>43</v>
      </c>
      <c r="J213" s="7">
        <v>-1</v>
      </c>
      <c r="K213" s="7">
        <v>0</v>
      </c>
      <c r="L213" s="7">
        <v>0</v>
      </c>
      <c r="N213" s="24">
        <v>1</v>
      </c>
      <c r="O213" s="7">
        <v>1</v>
      </c>
      <c r="Q213" s="7" t="s">
        <v>149</v>
      </c>
      <c r="R213" s="7" t="s">
        <v>149</v>
      </c>
      <c r="S213" s="15">
        <v>9</v>
      </c>
      <c r="T213" s="7" t="str">
        <f t="shared" ref="T213:T233" si="301">B213</f>
        <v>威吓</v>
      </c>
      <c r="U213" s="7" t="str">
        <f t="shared" ref="U213:Z213" si="302">T213</f>
        <v>威吓</v>
      </c>
      <c r="V213" s="7" t="str">
        <f t="shared" si="302"/>
        <v>威吓</v>
      </c>
      <c r="W213" s="7" t="str">
        <f t="shared" si="302"/>
        <v>威吓</v>
      </c>
      <c r="X213" s="7" t="str">
        <f t="shared" si="302"/>
        <v>威吓</v>
      </c>
      <c r="Y213" s="7" t="str">
        <f t="shared" si="302"/>
        <v>威吓</v>
      </c>
      <c r="Z213" s="7" t="str">
        <f t="shared" si="302"/>
        <v>威吓</v>
      </c>
      <c r="AA213" s="7" t="s">
        <v>81</v>
      </c>
      <c r="AB213" s="7" t="str">
        <f t="shared" ref="AB213:AH213" si="303">AA213</f>
        <v>无</v>
      </c>
      <c r="AC213" s="7" t="str">
        <f t="shared" si="303"/>
        <v>无</v>
      </c>
      <c r="AD213" s="7" t="str">
        <f t="shared" si="303"/>
        <v>无</v>
      </c>
      <c r="AE213" s="7" t="str">
        <f t="shared" si="303"/>
        <v>无</v>
      </c>
      <c r="AF213" s="7" t="str">
        <f t="shared" si="303"/>
        <v>无</v>
      </c>
      <c r="AG213" s="7" t="str">
        <f t="shared" si="303"/>
        <v>无</v>
      </c>
      <c r="AH213" s="7" t="str">
        <f t="shared" si="303"/>
        <v>无</v>
      </c>
      <c r="AI213" s="15">
        <v>1</v>
      </c>
      <c r="AJ213" s="15">
        <v>2</v>
      </c>
      <c r="AK213" s="15">
        <v>3</v>
      </c>
      <c r="AL213" s="15">
        <v>4</v>
      </c>
      <c r="AM213" s="15">
        <v>5</v>
      </c>
      <c r="AN213" s="15">
        <v>6</v>
      </c>
      <c r="AO213" s="15">
        <v>7</v>
      </c>
      <c r="AP213" s="15"/>
    </row>
    <row r="214" s="7" customFormat="1" spans="1:42">
      <c r="A214" s="15">
        <v>162013</v>
      </c>
      <c r="B214" s="15" t="s">
        <v>470</v>
      </c>
      <c r="C214" s="15" t="s">
        <v>470</v>
      </c>
      <c r="D214" s="16" t="s">
        <v>83</v>
      </c>
      <c r="E214" s="7">
        <v>2496</v>
      </c>
      <c r="F214" s="7">
        <v>-1</v>
      </c>
      <c r="G214" s="7">
        <v>0</v>
      </c>
      <c r="H214" s="7">
        <v>0</v>
      </c>
      <c r="I214" s="15" t="s">
        <v>43</v>
      </c>
      <c r="J214" s="7">
        <v>-1</v>
      </c>
      <c r="K214" s="7">
        <v>0</v>
      </c>
      <c r="L214" s="7">
        <v>0</v>
      </c>
      <c r="N214" s="24">
        <v>1</v>
      </c>
      <c r="O214" s="7">
        <v>1</v>
      </c>
      <c r="Q214" s="7" t="s">
        <v>149</v>
      </c>
      <c r="R214" s="7" t="s">
        <v>149</v>
      </c>
      <c r="S214" s="15">
        <v>10</v>
      </c>
      <c r="T214" s="7" t="str">
        <f t="shared" si="301"/>
        <v>趁虚</v>
      </c>
      <c r="U214" s="7" t="str">
        <f t="shared" ref="U214:Z214" si="304">T214</f>
        <v>趁虚</v>
      </c>
      <c r="V214" s="7" t="str">
        <f t="shared" si="304"/>
        <v>趁虚</v>
      </c>
      <c r="W214" s="7" t="str">
        <f t="shared" si="304"/>
        <v>趁虚</v>
      </c>
      <c r="X214" s="7" t="str">
        <f t="shared" si="304"/>
        <v>趁虚</v>
      </c>
      <c r="Y214" s="7" t="str">
        <f t="shared" si="304"/>
        <v>趁虚</v>
      </c>
      <c r="Z214" s="7" t="str">
        <f t="shared" si="304"/>
        <v>趁虚</v>
      </c>
      <c r="AA214" s="7" t="s">
        <v>81</v>
      </c>
      <c r="AB214" s="7" t="str">
        <f t="shared" ref="AB214:AH214" si="305">AA214</f>
        <v>无</v>
      </c>
      <c r="AC214" s="7" t="str">
        <f t="shared" si="305"/>
        <v>无</v>
      </c>
      <c r="AD214" s="7" t="str">
        <f t="shared" si="305"/>
        <v>无</v>
      </c>
      <c r="AE214" s="7" t="str">
        <f t="shared" si="305"/>
        <v>无</v>
      </c>
      <c r="AF214" s="7" t="str">
        <f t="shared" si="305"/>
        <v>无</v>
      </c>
      <c r="AG214" s="7" t="str">
        <f t="shared" si="305"/>
        <v>无</v>
      </c>
      <c r="AH214" s="7" t="str">
        <f t="shared" si="305"/>
        <v>无</v>
      </c>
      <c r="AI214" s="15">
        <v>1</v>
      </c>
      <c r="AJ214" s="15">
        <v>2</v>
      </c>
      <c r="AK214" s="15">
        <v>3</v>
      </c>
      <c r="AL214" s="15">
        <v>4</v>
      </c>
      <c r="AM214" s="15">
        <v>5</v>
      </c>
      <c r="AN214" s="15">
        <v>6</v>
      </c>
      <c r="AO214" s="15">
        <v>7</v>
      </c>
      <c r="AP214" s="15"/>
    </row>
    <row r="215" s="7" customFormat="1" spans="1:42">
      <c r="A215" s="15">
        <v>162014</v>
      </c>
      <c r="B215" s="15" t="s">
        <v>471</v>
      </c>
      <c r="C215" s="15" t="s">
        <v>471</v>
      </c>
      <c r="D215" s="17" t="s">
        <v>85</v>
      </c>
      <c r="E215" s="7">
        <v>2497</v>
      </c>
      <c r="F215" s="7">
        <v>-1</v>
      </c>
      <c r="G215" s="7">
        <v>0</v>
      </c>
      <c r="H215" s="7">
        <v>0</v>
      </c>
      <c r="I215" s="15" t="s">
        <v>43</v>
      </c>
      <c r="J215" s="7">
        <v>-1</v>
      </c>
      <c r="K215" s="7">
        <v>0</v>
      </c>
      <c r="L215" s="7">
        <v>0</v>
      </c>
      <c r="N215" s="24">
        <v>1</v>
      </c>
      <c r="O215" s="7">
        <v>1</v>
      </c>
      <c r="Q215" s="7" t="s">
        <v>149</v>
      </c>
      <c r="R215" s="7" t="s">
        <v>149</v>
      </c>
      <c r="S215" s="15">
        <v>11</v>
      </c>
      <c r="T215" s="7" t="str">
        <f t="shared" si="301"/>
        <v>震慑</v>
      </c>
      <c r="U215" s="7" t="str">
        <f t="shared" ref="U215:Z215" si="306">T215</f>
        <v>震慑</v>
      </c>
      <c r="V215" s="7" t="str">
        <f t="shared" si="306"/>
        <v>震慑</v>
      </c>
      <c r="W215" s="7" t="str">
        <f t="shared" si="306"/>
        <v>震慑</v>
      </c>
      <c r="X215" s="7" t="str">
        <f t="shared" si="306"/>
        <v>震慑</v>
      </c>
      <c r="Y215" s="7" t="str">
        <f t="shared" si="306"/>
        <v>震慑</v>
      </c>
      <c r="Z215" s="7" t="str">
        <f t="shared" si="306"/>
        <v>震慑</v>
      </c>
      <c r="AA215" s="7" t="s">
        <v>81</v>
      </c>
      <c r="AB215" s="7" t="str">
        <f t="shared" ref="AB215:AH215" si="307">AA215</f>
        <v>无</v>
      </c>
      <c r="AC215" s="7" t="str">
        <f t="shared" si="307"/>
        <v>无</v>
      </c>
      <c r="AD215" s="7" t="str">
        <f t="shared" si="307"/>
        <v>无</v>
      </c>
      <c r="AE215" s="7" t="str">
        <f t="shared" si="307"/>
        <v>无</v>
      </c>
      <c r="AF215" s="7" t="str">
        <f t="shared" si="307"/>
        <v>无</v>
      </c>
      <c r="AG215" s="7" t="str">
        <f t="shared" si="307"/>
        <v>无</v>
      </c>
      <c r="AH215" s="7" t="str">
        <f t="shared" si="307"/>
        <v>无</v>
      </c>
      <c r="AI215" s="15">
        <v>1</v>
      </c>
      <c r="AJ215" s="15">
        <v>2</v>
      </c>
      <c r="AK215" s="15">
        <v>3</v>
      </c>
      <c r="AL215" s="15">
        <v>4</v>
      </c>
      <c r="AM215" s="15">
        <v>5</v>
      </c>
      <c r="AN215" s="15">
        <v>6</v>
      </c>
      <c r="AO215" s="15">
        <v>7</v>
      </c>
      <c r="AP215" s="15"/>
    </row>
    <row r="216" s="7" customFormat="1" spans="1:42">
      <c r="A216" s="15">
        <v>162015</v>
      </c>
      <c r="B216" s="15" t="s">
        <v>472</v>
      </c>
      <c r="C216" s="15" t="s">
        <v>472</v>
      </c>
      <c r="D216" s="18" t="s">
        <v>87</v>
      </c>
      <c r="E216" s="7">
        <v>2498</v>
      </c>
      <c r="F216" s="7">
        <v>-1</v>
      </c>
      <c r="G216" s="7">
        <v>0</v>
      </c>
      <c r="H216" s="7">
        <v>0</v>
      </c>
      <c r="I216" s="15" t="s">
        <v>43</v>
      </c>
      <c r="J216" s="7">
        <v>-1</v>
      </c>
      <c r="K216" s="7">
        <v>0</v>
      </c>
      <c r="L216" s="7">
        <v>0</v>
      </c>
      <c r="N216" s="24">
        <v>1</v>
      </c>
      <c r="O216" s="7">
        <v>1</v>
      </c>
      <c r="Q216" s="7" t="s">
        <v>149</v>
      </c>
      <c r="R216" s="7" t="s">
        <v>149</v>
      </c>
      <c r="S216" s="15">
        <v>12</v>
      </c>
      <c r="T216" s="7" t="str">
        <f t="shared" si="301"/>
        <v>苏醒</v>
      </c>
      <c r="U216" s="7" t="str">
        <f t="shared" ref="U216:Z216" si="308">T216</f>
        <v>苏醒</v>
      </c>
      <c r="V216" s="7" t="str">
        <f t="shared" si="308"/>
        <v>苏醒</v>
      </c>
      <c r="W216" s="7" t="str">
        <f t="shared" si="308"/>
        <v>苏醒</v>
      </c>
      <c r="X216" s="7" t="str">
        <f t="shared" si="308"/>
        <v>苏醒</v>
      </c>
      <c r="Y216" s="7" t="str">
        <f t="shared" si="308"/>
        <v>苏醒</v>
      </c>
      <c r="Z216" s="7" t="str">
        <f t="shared" si="308"/>
        <v>苏醒</v>
      </c>
      <c r="AA216" s="7" t="s">
        <v>81</v>
      </c>
      <c r="AB216" s="7" t="str">
        <f t="shared" ref="AB216:AH216" si="309">AA216</f>
        <v>无</v>
      </c>
      <c r="AC216" s="7" t="str">
        <f t="shared" si="309"/>
        <v>无</v>
      </c>
      <c r="AD216" s="7" t="str">
        <f t="shared" si="309"/>
        <v>无</v>
      </c>
      <c r="AE216" s="7" t="str">
        <f t="shared" si="309"/>
        <v>无</v>
      </c>
      <c r="AF216" s="7" t="str">
        <f t="shared" si="309"/>
        <v>无</v>
      </c>
      <c r="AG216" s="7" t="str">
        <f t="shared" si="309"/>
        <v>无</v>
      </c>
      <c r="AH216" s="7" t="str">
        <f t="shared" si="309"/>
        <v>无</v>
      </c>
      <c r="AI216" s="15">
        <v>1</v>
      </c>
      <c r="AJ216" s="15">
        <v>2</v>
      </c>
      <c r="AK216" s="15">
        <v>3</v>
      </c>
      <c r="AL216" s="15">
        <v>4</v>
      </c>
      <c r="AM216" s="15">
        <v>5</v>
      </c>
      <c r="AN216" s="15">
        <v>6</v>
      </c>
      <c r="AO216" s="15">
        <v>7</v>
      </c>
      <c r="AP216" s="15"/>
    </row>
    <row r="217" s="7" customFormat="1" spans="1:42">
      <c r="A217" s="15">
        <v>162016</v>
      </c>
      <c r="B217" s="15" t="s">
        <v>473</v>
      </c>
      <c r="C217" s="15" t="s">
        <v>473</v>
      </c>
      <c r="D217" s="17" t="s">
        <v>89</v>
      </c>
      <c r="E217" s="7">
        <v>2499</v>
      </c>
      <c r="F217" s="7">
        <v>-1</v>
      </c>
      <c r="G217" s="7">
        <v>0</v>
      </c>
      <c r="H217" s="7">
        <v>0</v>
      </c>
      <c r="I217" s="15" t="s">
        <v>43</v>
      </c>
      <c r="J217" s="7">
        <v>-1</v>
      </c>
      <c r="K217" s="7">
        <v>0</v>
      </c>
      <c r="L217" s="7">
        <v>0</v>
      </c>
      <c r="N217" s="24">
        <v>1</v>
      </c>
      <c r="O217" s="7">
        <v>1</v>
      </c>
      <c r="Q217" s="7" t="s">
        <v>149</v>
      </c>
      <c r="R217" s="7" t="s">
        <v>149</v>
      </c>
      <c r="S217" s="15">
        <v>13</v>
      </c>
      <c r="T217" s="7" t="str">
        <f t="shared" si="301"/>
        <v>月桂</v>
      </c>
      <c r="U217" s="7" t="str">
        <f t="shared" ref="U217:Z217" si="310">T217</f>
        <v>月桂</v>
      </c>
      <c r="V217" s="7" t="str">
        <f t="shared" si="310"/>
        <v>月桂</v>
      </c>
      <c r="W217" s="7" t="str">
        <f t="shared" si="310"/>
        <v>月桂</v>
      </c>
      <c r="X217" s="7" t="str">
        <f t="shared" si="310"/>
        <v>月桂</v>
      </c>
      <c r="Y217" s="7" t="str">
        <f t="shared" si="310"/>
        <v>月桂</v>
      </c>
      <c r="Z217" s="7" t="str">
        <f t="shared" si="310"/>
        <v>月桂</v>
      </c>
      <c r="AA217" s="7" t="s">
        <v>81</v>
      </c>
      <c r="AB217" s="7" t="str">
        <f t="shared" ref="AB217:AH217" si="311">AA217</f>
        <v>无</v>
      </c>
      <c r="AC217" s="7" t="str">
        <f t="shared" si="311"/>
        <v>无</v>
      </c>
      <c r="AD217" s="7" t="str">
        <f t="shared" si="311"/>
        <v>无</v>
      </c>
      <c r="AE217" s="7" t="str">
        <f t="shared" si="311"/>
        <v>无</v>
      </c>
      <c r="AF217" s="7" t="str">
        <f t="shared" si="311"/>
        <v>无</v>
      </c>
      <c r="AG217" s="7" t="str">
        <f t="shared" si="311"/>
        <v>无</v>
      </c>
      <c r="AH217" s="7" t="str">
        <f t="shared" si="311"/>
        <v>无</v>
      </c>
      <c r="AI217" s="15">
        <v>1</v>
      </c>
      <c r="AJ217" s="15">
        <v>2</v>
      </c>
      <c r="AK217" s="15">
        <v>3</v>
      </c>
      <c r="AL217" s="15">
        <v>4</v>
      </c>
      <c r="AM217" s="15">
        <v>5</v>
      </c>
      <c r="AN217" s="15">
        <v>6</v>
      </c>
      <c r="AO217" s="15">
        <v>7</v>
      </c>
      <c r="AP217" s="15"/>
    </row>
    <row r="218" s="7" customFormat="1" spans="1:42">
      <c r="A218" s="15">
        <v>162017</v>
      </c>
      <c r="B218" s="15" t="s">
        <v>474</v>
      </c>
      <c r="C218" s="15" t="s">
        <v>474</v>
      </c>
      <c r="D218" s="17" t="s">
        <v>91</v>
      </c>
      <c r="E218" s="7">
        <v>2500</v>
      </c>
      <c r="F218" s="7">
        <v>-1</v>
      </c>
      <c r="G218" s="7">
        <v>0</v>
      </c>
      <c r="H218" s="7">
        <v>0</v>
      </c>
      <c r="I218" s="15" t="s">
        <v>43</v>
      </c>
      <c r="J218" s="7">
        <v>-1</v>
      </c>
      <c r="K218" s="7">
        <v>0</v>
      </c>
      <c r="L218" s="7">
        <v>0</v>
      </c>
      <c r="N218" s="24">
        <v>1</v>
      </c>
      <c r="O218" s="7">
        <v>1</v>
      </c>
      <c r="Q218" s="7" t="s">
        <v>149</v>
      </c>
      <c r="R218" s="7" t="s">
        <v>149</v>
      </c>
      <c r="S218" s="15">
        <v>14</v>
      </c>
      <c r="T218" s="7" t="str">
        <f t="shared" si="301"/>
        <v>神律</v>
      </c>
      <c r="U218" s="7" t="str">
        <f t="shared" ref="U218:Z218" si="312">T218</f>
        <v>神律</v>
      </c>
      <c r="V218" s="7" t="str">
        <f t="shared" si="312"/>
        <v>神律</v>
      </c>
      <c r="W218" s="7" t="str">
        <f t="shared" si="312"/>
        <v>神律</v>
      </c>
      <c r="X218" s="7" t="str">
        <f t="shared" si="312"/>
        <v>神律</v>
      </c>
      <c r="Y218" s="7" t="str">
        <f t="shared" si="312"/>
        <v>神律</v>
      </c>
      <c r="Z218" s="7" t="str">
        <f t="shared" si="312"/>
        <v>神律</v>
      </c>
      <c r="AA218" s="7" t="s">
        <v>81</v>
      </c>
      <c r="AB218" s="7" t="str">
        <f t="shared" ref="AB218:AH218" si="313">AA218</f>
        <v>无</v>
      </c>
      <c r="AC218" s="7" t="str">
        <f t="shared" si="313"/>
        <v>无</v>
      </c>
      <c r="AD218" s="7" t="str">
        <f t="shared" si="313"/>
        <v>无</v>
      </c>
      <c r="AE218" s="7" t="str">
        <f t="shared" si="313"/>
        <v>无</v>
      </c>
      <c r="AF218" s="7" t="str">
        <f t="shared" si="313"/>
        <v>无</v>
      </c>
      <c r="AG218" s="7" t="str">
        <f t="shared" si="313"/>
        <v>无</v>
      </c>
      <c r="AH218" s="7" t="str">
        <f t="shared" si="313"/>
        <v>无</v>
      </c>
      <c r="AI218" s="15">
        <v>1</v>
      </c>
      <c r="AJ218" s="15">
        <v>2</v>
      </c>
      <c r="AK218" s="15">
        <v>3</v>
      </c>
      <c r="AL218" s="15">
        <v>4</v>
      </c>
      <c r="AM218" s="15">
        <v>5</v>
      </c>
      <c r="AN218" s="15">
        <v>6</v>
      </c>
      <c r="AO218" s="15">
        <v>7</v>
      </c>
      <c r="AP218" s="15"/>
    </row>
    <row r="219" s="7" customFormat="1" spans="1:42">
      <c r="A219" s="15">
        <v>162018</v>
      </c>
      <c r="B219" s="15" t="s">
        <v>92</v>
      </c>
      <c r="C219" s="15" t="s">
        <v>92</v>
      </c>
      <c r="D219" s="19" t="s">
        <v>93</v>
      </c>
      <c r="E219" s="7">
        <v>2379</v>
      </c>
      <c r="F219" s="7">
        <v>-1</v>
      </c>
      <c r="G219" s="7">
        <v>0</v>
      </c>
      <c r="H219" s="7">
        <v>0</v>
      </c>
      <c r="I219" s="15" t="s">
        <v>43</v>
      </c>
      <c r="J219" s="7">
        <v>-1</v>
      </c>
      <c r="K219" s="7">
        <v>0</v>
      </c>
      <c r="L219" s="7">
        <v>0</v>
      </c>
      <c r="N219" s="24">
        <v>1</v>
      </c>
      <c r="O219" s="7">
        <v>1</v>
      </c>
      <c r="Q219" s="7" t="s">
        <v>149</v>
      </c>
      <c r="R219" s="7" t="s">
        <v>149</v>
      </c>
      <c r="S219" s="15">
        <v>15</v>
      </c>
      <c r="T219" s="7" t="str">
        <f t="shared" si="301"/>
        <v>额外能力</v>
      </c>
      <c r="U219" s="7" t="str">
        <f t="shared" ref="U219:Z219" si="314">T219</f>
        <v>额外能力</v>
      </c>
      <c r="V219" s="7" t="str">
        <f t="shared" si="314"/>
        <v>额外能力</v>
      </c>
      <c r="W219" s="7" t="str">
        <f t="shared" si="314"/>
        <v>额外能力</v>
      </c>
      <c r="X219" s="7" t="str">
        <f t="shared" si="314"/>
        <v>额外能力</v>
      </c>
      <c r="Y219" s="7" t="str">
        <f t="shared" si="314"/>
        <v>额外能力</v>
      </c>
      <c r="Z219" s="7" t="str">
        <f t="shared" si="314"/>
        <v>额外能力</v>
      </c>
      <c r="AA219" s="7" t="s">
        <v>81</v>
      </c>
      <c r="AB219" s="7" t="str">
        <f t="shared" ref="AB219:AH219" si="315">AA219</f>
        <v>无</v>
      </c>
      <c r="AC219" s="7" t="str">
        <f t="shared" si="315"/>
        <v>无</v>
      </c>
      <c r="AD219" s="7" t="str">
        <f t="shared" si="315"/>
        <v>无</v>
      </c>
      <c r="AE219" s="7" t="str">
        <f t="shared" si="315"/>
        <v>无</v>
      </c>
      <c r="AF219" s="7" t="str">
        <f t="shared" si="315"/>
        <v>无</v>
      </c>
      <c r="AG219" s="7" t="str">
        <f t="shared" si="315"/>
        <v>无</v>
      </c>
      <c r="AH219" s="7" t="str">
        <f t="shared" si="315"/>
        <v>无</v>
      </c>
      <c r="AI219" s="15">
        <v>1</v>
      </c>
      <c r="AJ219" s="15">
        <v>2</v>
      </c>
      <c r="AK219" s="15">
        <v>3</v>
      </c>
      <c r="AL219" s="15">
        <v>4</v>
      </c>
      <c r="AM219" s="15">
        <v>5</v>
      </c>
      <c r="AN219" s="15">
        <v>6</v>
      </c>
      <c r="AO219" s="15">
        <v>7</v>
      </c>
      <c r="AP219" s="15"/>
    </row>
    <row r="220" s="7" customFormat="1" spans="1:42">
      <c r="A220" s="15">
        <v>162019</v>
      </c>
      <c r="B220" s="15" t="s">
        <v>475</v>
      </c>
      <c r="C220" s="15" t="s">
        <v>475</v>
      </c>
      <c r="D220" s="17" t="s">
        <v>95</v>
      </c>
      <c r="E220" s="7">
        <v>2501</v>
      </c>
      <c r="F220" s="7">
        <v>-1</v>
      </c>
      <c r="G220" s="7">
        <v>0</v>
      </c>
      <c r="H220" s="7">
        <v>0</v>
      </c>
      <c r="I220" s="15" t="s">
        <v>43</v>
      </c>
      <c r="J220" s="7">
        <v>-1</v>
      </c>
      <c r="K220" s="7">
        <v>0</v>
      </c>
      <c r="L220" s="7">
        <v>0</v>
      </c>
      <c r="N220" s="24">
        <v>1</v>
      </c>
      <c r="O220" s="7">
        <v>1</v>
      </c>
      <c r="Q220" s="7" t="s">
        <v>149</v>
      </c>
      <c r="R220" s="7" t="s">
        <v>149</v>
      </c>
      <c r="S220" s="15">
        <v>16</v>
      </c>
      <c r="T220" s="7" t="str">
        <f t="shared" si="301"/>
        <v>疾雷</v>
      </c>
      <c r="U220" s="7" t="str">
        <f t="shared" ref="U220:Z220" si="316">T220</f>
        <v>疾雷</v>
      </c>
      <c r="V220" s="7" t="str">
        <f t="shared" si="316"/>
        <v>疾雷</v>
      </c>
      <c r="W220" s="7" t="str">
        <f t="shared" si="316"/>
        <v>疾雷</v>
      </c>
      <c r="X220" s="7" t="str">
        <f t="shared" si="316"/>
        <v>疾雷</v>
      </c>
      <c r="Y220" s="7" t="str">
        <f t="shared" si="316"/>
        <v>疾雷</v>
      </c>
      <c r="Z220" s="7" t="str">
        <f t="shared" si="316"/>
        <v>疾雷</v>
      </c>
      <c r="AA220" s="7" t="s">
        <v>81</v>
      </c>
      <c r="AB220" s="7" t="str">
        <f t="shared" ref="AB220:AH220" si="317">AA220</f>
        <v>无</v>
      </c>
      <c r="AC220" s="7" t="str">
        <f t="shared" si="317"/>
        <v>无</v>
      </c>
      <c r="AD220" s="7" t="str">
        <f t="shared" si="317"/>
        <v>无</v>
      </c>
      <c r="AE220" s="7" t="str">
        <f t="shared" si="317"/>
        <v>无</v>
      </c>
      <c r="AF220" s="7" t="str">
        <f t="shared" si="317"/>
        <v>无</v>
      </c>
      <c r="AG220" s="7" t="str">
        <f t="shared" si="317"/>
        <v>无</v>
      </c>
      <c r="AH220" s="7" t="str">
        <f t="shared" si="317"/>
        <v>无</v>
      </c>
      <c r="AI220" s="15">
        <v>1</v>
      </c>
      <c r="AJ220" s="15">
        <v>2</v>
      </c>
      <c r="AK220" s="15">
        <v>3</v>
      </c>
      <c r="AL220" s="15">
        <v>4</v>
      </c>
      <c r="AM220" s="15">
        <v>5</v>
      </c>
      <c r="AN220" s="15">
        <v>6</v>
      </c>
      <c r="AO220" s="15">
        <v>7</v>
      </c>
      <c r="AP220" s="15"/>
    </row>
    <row r="221" s="7" customFormat="1" spans="1:42">
      <c r="A221" s="15">
        <v>162020</v>
      </c>
      <c r="B221" s="15" t="s">
        <v>476</v>
      </c>
      <c r="C221" s="15" t="s">
        <v>476</v>
      </c>
      <c r="D221" s="16" t="s">
        <v>97</v>
      </c>
      <c r="E221" s="7">
        <v>2502</v>
      </c>
      <c r="F221" s="7">
        <v>-1</v>
      </c>
      <c r="G221" s="7">
        <v>0</v>
      </c>
      <c r="H221" s="7">
        <v>0</v>
      </c>
      <c r="I221" s="15" t="s">
        <v>43</v>
      </c>
      <c r="J221" s="7">
        <v>-1</v>
      </c>
      <c r="K221" s="7">
        <v>0</v>
      </c>
      <c r="L221" s="7">
        <v>0</v>
      </c>
      <c r="N221" s="24">
        <v>1</v>
      </c>
      <c r="O221" s="7">
        <v>1</v>
      </c>
      <c r="Q221" s="7" t="s">
        <v>149</v>
      </c>
      <c r="R221" s="7" t="s">
        <v>149</v>
      </c>
      <c r="S221" s="15">
        <v>17</v>
      </c>
      <c r="T221" s="7" t="str">
        <f t="shared" si="301"/>
        <v>余韵</v>
      </c>
      <c r="U221" s="7" t="str">
        <f t="shared" ref="U221:Z221" si="318">T221</f>
        <v>余韵</v>
      </c>
      <c r="V221" s="7" t="str">
        <f t="shared" si="318"/>
        <v>余韵</v>
      </c>
      <c r="W221" s="7" t="str">
        <f t="shared" si="318"/>
        <v>余韵</v>
      </c>
      <c r="X221" s="7" t="str">
        <f t="shared" si="318"/>
        <v>余韵</v>
      </c>
      <c r="Y221" s="7" t="str">
        <f t="shared" si="318"/>
        <v>余韵</v>
      </c>
      <c r="Z221" s="7" t="str">
        <f t="shared" si="318"/>
        <v>余韵</v>
      </c>
      <c r="AA221" s="7" t="s">
        <v>81</v>
      </c>
      <c r="AB221" s="7" t="str">
        <f t="shared" ref="AB221:AH221" si="319">AA221</f>
        <v>无</v>
      </c>
      <c r="AC221" s="7" t="str">
        <f t="shared" si="319"/>
        <v>无</v>
      </c>
      <c r="AD221" s="7" t="str">
        <f t="shared" si="319"/>
        <v>无</v>
      </c>
      <c r="AE221" s="7" t="str">
        <f t="shared" si="319"/>
        <v>无</v>
      </c>
      <c r="AF221" s="7" t="str">
        <f t="shared" si="319"/>
        <v>无</v>
      </c>
      <c r="AG221" s="7" t="str">
        <f t="shared" si="319"/>
        <v>无</v>
      </c>
      <c r="AH221" s="7" t="str">
        <f t="shared" si="319"/>
        <v>无</v>
      </c>
      <c r="AI221" s="15">
        <v>1</v>
      </c>
      <c r="AJ221" s="15">
        <v>2</v>
      </c>
      <c r="AK221" s="15">
        <v>3</v>
      </c>
      <c r="AL221" s="15">
        <v>4</v>
      </c>
      <c r="AM221" s="15">
        <v>5</v>
      </c>
      <c r="AN221" s="15">
        <v>6</v>
      </c>
      <c r="AO221" s="15">
        <v>7</v>
      </c>
      <c r="AP221" s="15"/>
    </row>
    <row r="222" s="7" customFormat="1" spans="1:42">
      <c r="A222" s="15">
        <v>162021</v>
      </c>
      <c r="B222" s="15" t="s">
        <v>477</v>
      </c>
      <c r="C222" s="15" t="s">
        <v>477</v>
      </c>
      <c r="D222" s="17" t="s">
        <v>91</v>
      </c>
      <c r="E222" s="7">
        <v>2503</v>
      </c>
      <c r="F222" s="7">
        <v>-1</v>
      </c>
      <c r="G222" s="7">
        <v>0</v>
      </c>
      <c r="H222" s="7">
        <v>0</v>
      </c>
      <c r="I222" s="15" t="s">
        <v>43</v>
      </c>
      <c r="J222" s="7">
        <v>-1</v>
      </c>
      <c r="K222" s="7">
        <v>0</v>
      </c>
      <c r="L222" s="7">
        <v>0</v>
      </c>
      <c r="N222" s="24">
        <v>1</v>
      </c>
      <c r="O222" s="7">
        <v>1</v>
      </c>
      <c r="Q222" s="7" t="s">
        <v>149</v>
      </c>
      <c r="R222" s="7" t="s">
        <v>149</v>
      </c>
      <c r="S222" s="15">
        <v>18</v>
      </c>
      <c r="T222" s="7" t="str">
        <f t="shared" si="301"/>
        <v>神念</v>
      </c>
      <c r="U222" s="7" t="str">
        <f t="shared" ref="U222:Z222" si="320">T222</f>
        <v>神念</v>
      </c>
      <c r="V222" s="7" t="str">
        <f t="shared" si="320"/>
        <v>神念</v>
      </c>
      <c r="W222" s="7" t="str">
        <f t="shared" si="320"/>
        <v>神念</v>
      </c>
      <c r="X222" s="7" t="str">
        <f t="shared" si="320"/>
        <v>神念</v>
      </c>
      <c r="Y222" s="7" t="str">
        <f t="shared" si="320"/>
        <v>神念</v>
      </c>
      <c r="Z222" s="7" t="str">
        <f t="shared" si="320"/>
        <v>神念</v>
      </c>
      <c r="AA222" s="7" t="s">
        <v>81</v>
      </c>
      <c r="AB222" s="7" t="str">
        <f t="shared" ref="AB222:AH222" si="321">AA222</f>
        <v>无</v>
      </c>
      <c r="AC222" s="7" t="str">
        <f t="shared" si="321"/>
        <v>无</v>
      </c>
      <c r="AD222" s="7" t="str">
        <f t="shared" si="321"/>
        <v>无</v>
      </c>
      <c r="AE222" s="7" t="str">
        <f t="shared" si="321"/>
        <v>无</v>
      </c>
      <c r="AF222" s="7" t="str">
        <f t="shared" si="321"/>
        <v>无</v>
      </c>
      <c r="AG222" s="7" t="str">
        <f t="shared" si="321"/>
        <v>无</v>
      </c>
      <c r="AH222" s="7" t="str">
        <f t="shared" si="321"/>
        <v>无</v>
      </c>
      <c r="AI222" s="15">
        <v>1</v>
      </c>
      <c r="AJ222" s="15">
        <v>2</v>
      </c>
      <c r="AK222" s="15">
        <v>3</v>
      </c>
      <c r="AL222" s="15">
        <v>4</v>
      </c>
      <c r="AM222" s="15">
        <v>5</v>
      </c>
      <c r="AN222" s="15">
        <v>6</v>
      </c>
      <c r="AO222" s="15">
        <v>7</v>
      </c>
      <c r="AP222" s="15"/>
    </row>
    <row r="223" s="7" customFormat="1" spans="1:42">
      <c r="A223" s="15">
        <v>162022</v>
      </c>
      <c r="B223" s="15" t="s">
        <v>478</v>
      </c>
      <c r="C223" s="15" t="s">
        <v>478</v>
      </c>
      <c r="D223" s="17" t="s">
        <v>100</v>
      </c>
      <c r="E223" s="7">
        <v>2504</v>
      </c>
      <c r="F223" s="7">
        <v>-1</v>
      </c>
      <c r="G223" s="7">
        <v>0</v>
      </c>
      <c r="H223" s="7">
        <v>0</v>
      </c>
      <c r="I223" s="15" t="s">
        <v>43</v>
      </c>
      <c r="J223" s="7">
        <v>-1</v>
      </c>
      <c r="K223" s="7">
        <v>0</v>
      </c>
      <c r="L223" s="7">
        <v>0</v>
      </c>
      <c r="N223" s="24">
        <v>1</v>
      </c>
      <c r="O223" s="7">
        <v>1</v>
      </c>
      <c r="Q223" s="7" t="s">
        <v>149</v>
      </c>
      <c r="R223" s="7" t="s">
        <v>149</v>
      </c>
      <c r="S223" s="15">
        <v>19</v>
      </c>
      <c r="T223" s="7" t="str">
        <f t="shared" si="301"/>
        <v>护佑</v>
      </c>
      <c r="U223" s="7" t="str">
        <f t="shared" ref="U223:Z223" si="322">T223</f>
        <v>护佑</v>
      </c>
      <c r="V223" s="7" t="str">
        <f t="shared" si="322"/>
        <v>护佑</v>
      </c>
      <c r="W223" s="7" t="str">
        <f t="shared" si="322"/>
        <v>护佑</v>
      </c>
      <c r="X223" s="7" t="str">
        <f t="shared" si="322"/>
        <v>护佑</v>
      </c>
      <c r="Y223" s="7" t="str">
        <f t="shared" si="322"/>
        <v>护佑</v>
      </c>
      <c r="Z223" s="7" t="str">
        <f t="shared" si="322"/>
        <v>护佑</v>
      </c>
      <c r="AA223" s="7" t="s">
        <v>81</v>
      </c>
      <c r="AB223" s="7" t="str">
        <f t="shared" ref="AB223:AH223" si="323">AA223</f>
        <v>无</v>
      </c>
      <c r="AC223" s="7" t="str">
        <f t="shared" si="323"/>
        <v>无</v>
      </c>
      <c r="AD223" s="7" t="str">
        <f t="shared" si="323"/>
        <v>无</v>
      </c>
      <c r="AE223" s="7" t="str">
        <f t="shared" si="323"/>
        <v>无</v>
      </c>
      <c r="AF223" s="7" t="str">
        <f t="shared" si="323"/>
        <v>无</v>
      </c>
      <c r="AG223" s="7" t="str">
        <f t="shared" si="323"/>
        <v>无</v>
      </c>
      <c r="AH223" s="7" t="str">
        <f t="shared" si="323"/>
        <v>无</v>
      </c>
      <c r="AI223" s="15">
        <v>1</v>
      </c>
      <c r="AJ223" s="15">
        <v>2</v>
      </c>
      <c r="AK223" s="15">
        <v>3</v>
      </c>
      <c r="AL223" s="15">
        <v>4</v>
      </c>
      <c r="AM223" s="15">
        <v>5</v>
      </c>
      <c r="AN223" s="15">
        <v>6</v>
      </c>
      <c r="AO223" s="15">
        <v>7</v>
      </c>
      <c r="AP223" s="15"/>
    </row>
    <row r="224" s="7" customFormat="1" spans="1:42">
      <c r="A224" s="15">
        <v>162023</v>
      </c>
      <c r="B224" s="15" t="s">
        <v>209</v>
      </c>
      <c r="C224" s="15" t="s">
        <v>209</v>
      </c>
      <c r="D224" s="17" t="s">
        <v>91</v>
      </c>
      <c r="E224" s="7">
        <v>2505</v>
      </c>
      <c r="F224" s="7">
        <v>-1</v>
      </c>
      <c r="G224" s="7">
        <v>0</v>
      </c>
      <c r="H224" s="7">
        <v>0</v>
      </c>
      <c r="I224" s="15" t="s">
        <v>43</v>
      </c>
      <c r="J224" s="7">
        <v>-1</v>
      </c>
      <c r="K224" s="7">
        <v>0</v>
      </c>
      <c r="L224" s="7">
        <v>0</v>
      </c>
      <c r="N224" s="24">
        <v>1</v>
      </c>
      <c r="O224" s="7">
        <v>1</v>
      </c>
      <c r="Q224" s="7" t="s">
        <v>149</v>
      </c>
      <c r="R224" s="7" t="s">
        <v>149</v>
      </c>
      <c r="S224" s="15">
        <v>20</v>
      </c>
      <c r="T224" s="7" t="str">
        <f t="shared" si="301"/>
        <v>怒火</v>
      </c>
      <c r="U224" s="7" t="str">
        <f t="shared" ref="U224:Z224" si="324">T224</f>
        <v>怒火</v>
      </c>
      <c r="V224" s="7" t="str">
        <f t="shared" si="324"/>
        <v>怒火</v>
      </c>
      <c r="W224" s="7" t="str">
        <f t="shared" si="324"/>
        <v>怒火</v>
      </c>
      <c r="X224" s="7" t="str">
        <f t="shared" si="324"/>
        <v>怒火</v>
      </c>
      <c r="Y224" s="7" t="str">
        <f t="shared" si="324"/>
        <v>怒火</v>
      </c>
      <c r="Z224" s="7" t="str">
        <f t="shared" si="324"/>
        <v>怒火</v>
      </c>
      <c r="AA224" s="7" t="s">
        <v>81</v>
      </c>
      <c r="AB224" s="7" t="str">
        <f t="shared" ref="AB224:AH224" si="325">AA224</f>
        <v>无</v>
      </c>
      <c r="AC224" s="7" t="str">
        <f t="shared" si="325"/>
        <v>无</v>
      </c>
      <c r="AD224" s="7" t="str">
        <f t="shared" si="325"/>
        <v>无</v>
      </c>
      <c r="AE224" s="7" t="str">
        <f t="shared" si="325"/>
        <v>无</v>
      </c>
      <c r="AF224" s="7" t="str">
        <f t="shared" si="325"/>
        <v>无</v>
      </c>
      <c r="AG224" s="7" t="str">
        <f t="shared" si="325"/>
        <v>无</v>
      </c>
      <c r="AH224" s="7" t="str">
        <f t="shared" si="325"/>
        <v>无</v>
      </c>
      <c r="AI224" s="15">
        <v>1</v>
      </c>
      <c r="AJ224" s="15">
        <v>2</v>
      </c>
      <c r="AK224" s="15">
        <v>3</v>
      </c>
      <c r="AL224" s="15">
        <v>4</v>
      </c>
      <c r="AM224" s="15">
        <v>5</v>
      </c>
      <c r="AN224" s="15">
        <v>6</v>
      </c>
      <c r="AO224" s="15">
        <v>7</v>
      </c>
      <c r="AP224" s="15"/>
    </row>
    <row r="225" s="7" customFormat="1" spans="1:42">
      <c r="A225" s="15">
        <v>162024</v>
      </c>
      <c r="B225" s="15" t="s">
        <v>479</v>
      </c>
      <c r="C225" s="15" t="s">
        <v>479</v>
      </c>
      <c r="D225" s="17" t="s">
        <v>103</v>
      </c>
      <c r="E225" s="7">
        <v>2506</v>
      </c>
      <c r="F225" s="7">
        <v>-1</v>
      </c>
      <c r="G225" s="7">
        <v>0</v>
      </c>
      <c r="H225" s="7">
        <v>0</v>
      </c>
      <c r="I225" s="15" t="s">
        <v>43</v>
      </c>
      <c r="J225" s="7">
        <v>-1</v>
      </c>
      <c r="K225" s="7">
        <v>0</v>
      </c>
      <c r="L225" s="7">
        <v>0</v>
      </c>
      <c r="N225" s="24">
        <v>1</v>
      </c>
      <c r="O225" s="7">
        <v>1</v>
      </c>
      <c r="Q225" s="7" t="s">
        <v>149</v>
      </c>
      <c r="R225" s="7" t="s">
        <v>149</v>
      </c>
      <c r="S225" s="15">
        <v>21</v>
      </c>
      <c r="T225" s="7" t="str">
        <f t="shared" si="301"/>
        <v>神尊</v>
      </c>
      <c r="U225" s="7" t="str">
        <f t="shared" ref="U225:Z225" si="326">T225</f>
        <v>神尊</v>
      </c>
      <c r="V225" s="7" t="str">
        <f t="shared" si="326"/>
        <v>神尊</v>
      </c>
      <c r="W225" s="7" t="str">
        <f t="shared" si="326"/>
        <v>神尊</v>
      </c>
      <c r="X225" s="7" t="str">
        <f t="shared" si="326"/>
        <v>神尊</v>
      </c>
      <c r="Y225" s="7" t="str">
        <f t="shared" si="326"/>
        <v>神尊</v>
      </c>
      <c r="Z225" s="7" t="str">
        <f t="shared" si="326"/>
        <v>神尊</v>
      </c>
      <c r="AA225" s="7" t="s">
        <v>81</v>
      </c>
      <c r="AB225" s="7" t="str">
        <f t="shared" ref="AB225:AH225" si="327">AA225</f>
        <v>无</v>
      </c>
      <c r="AC225" s="7" t="str">
        <f t="shared" si="327"/>
        <v>无</v>
      </c>
      <c r="AD225" s="7" t="str">
        <f t="shared" si="327"/>
        <v>无</v>
      </c>
      <c r="AE225" s="7" t="str">
        <f t="shared" si="327"/>
        <v>无</v>
      </c>
      <c r="AF225" s="7" t="str">
        <f t="shared" si="327"/>
        <v>无</v>
      </c>
      <c r="AG225" s="7" t="str">
        <f t="shared" si="327"/>
        <v>无</v>
      </c>
      <c r="AH225" s="7" t="str">
        <f t="shared" si="327"/>
        <v>无</v>
      </c>
      <c r="AI225" s="15">
        <v>1</v>
      </c>
      <c r="AJ225" s="15">
        <v>2</v>
      </c>
      <c r="AK225" s="15">
        <v>3</v>
      </c>
      <c r="AL225" s="15">
        <v>4</v>
      </c>
      <c r="AM225" s="15">
        <v>5</v>
      </c>
      <c r="AN225" s="15">
        <v>6</v>
      </c>
      <c r="AO225" s="15">
        <v>7</v>
      </c>
      <c r="AP225" s="15"/>
    </row>
    <row r="226" s="7" customFormat="1" spans="1:42">
      <c r="A226" s="15">
        <v>162025</v>
      </c>
      <c r="B226" s="15" t="s">
        <v>480</v>
      </c>
      <c r="C226" s="15" t="s">
        <v>480</v>
      </c>
      <c r="D226" s="17" t="s">
        <v>105</v>
      </c>
      <c r="E226" s="7">
        <v>2507</v>
      </c>
      <c r="F226" s="7">
        <v>-1</v>
      </c>
      <c r="G226" s="7">
        <v>0</v>
      </c>
      <c r="H226" s="7">
        <v>0</v>
      </c>
      <c r="I226" s="15" t="s">
        <v>481</v>
      </c>
      <c r="J226" s="7">
        <v>-1</v>
      </c>
      <c r="K226" s="7">
        <v>0</v>
      </c>
      <c r="L226" s="7">
        <v>0</v>
      </c>
      <c r="N226" s="24">
        <v>1</v>
      </c>
      <c r="O226" s="7">
        <v>1</v>
      </c>
      <c r="Q226" s="7" t="s">
        <v>149</v>
      </c>
      <c r="R226" s="7" t="s">
        <v>149</v>
      </c>
      <c r="S226" s="15">
        <v>22</v>
      </c>
      <c r="T226" s="7" t="str">
        <f t="shared" si="301"/>
        <v>画地为牢</v>
      </c>
      <c r="U226" s="7" t="str">
        <f t="shared" ref="U226:Z226" si="328">T226</f>
        <v>画地为牢</v>
      </c>
      <c r="V226" s="7" t="str">
        <f t="shared" si="328"/>
        <v>画地为牢</v>
      </c>
      <c r="W226" s="7" t="str">
        <f t="shared" si="328"/>
        <v>画地为牢</v>
      </c>
      <c r="X226" s="7" t="str">
        <f t="shared" si="328"/>
        <v>画地为牢</v>
      </c>
      <c r="Y226" s="7" t="str">
        <f t="shared" si="328"/>
        <v>画地为牢</v>
      </c>
      <c r="Z226" s="7" t="str">
        <f t="shared" si="328"/>
        <v>画地为牢</v>
      </c>
      <c r="AA226" s="7" t="s">
        <v>482</v>
      </c>
      <c r="AB226" s="7" t="str">
        <f t="shared" ref="AB226:AH226" si="329">AA226</f>
        <v>【冷却】5回合</v>
      </c>
      <c r="AC226" s="7" t="str">
        <f t="shared" si="329"/>
        <v>【冷却】5回合</v>
      </c>
      <c r="AD226" s="7" t="str">
        <f t="shared" si="329"/>
        <v>【冷却】5回合</v>
      </c>
      <c r="AE226" s="7" t="str">
        <f t="shared" si="329"/>
        <v>【冷却】5回合</v>
      </c>
      <c r="AF226" s="7" t="str">
        <f t="shared" si="329"/>
        <v>【冷却】5回合</v>
      </c>
      <c r="AG226" s="7" t="str">
        <f t="shared" si="329"/>
        <v>【冷却】5回合</v>
      </c>
      <c r="AH226" s="7" t="str">
        <f t="shared" si="329"/>
        <v>【冷却】5回合</v>
      </c>
      <c r="AI226" s="15">
        <v>1</v>
      </c>
      <c r="AJ226" s="15">
        <v>2</v>
      </c>
      <c r="AK226" s="15">
        <v>3</v>
      </c>
      <c r="AL226" s="15">
        <v>4</v>
      </c>
      <c r="AM226" s="15">
        <v>5</v>
      </c>
      <c r="AN226" s="15">
        <v>6</v>
      </c>
      <c r="AO226" s="15">
        <v>7</v>
      </c>
      <c r="AP226" s="15"/>
    </row>
    <row r="227" s="7" customFormat="1" spans="1:42">
      <c r="A227" s="15">
        <v>162026</v>
      </c>
      <c r="B227" s="15" t="s">
        <v>483</v>
      </c>
      <c r="C227" s="15" t="s">
        <v>483</v>
      </c>
      <c r="D227" s="16" t="s">
        <v>83</v>
      </c>
      <c r="E227" s="7">
        <v>2508</v>
      </c>
      <c r="F227" s="7">
        <v>-1</v>
      </c>
      <c r="G227" s="7">
        <v>0</v>
      </c>
      <c r="H227" s="7">
        <v>0</v>
      </c>
      <c r="I227" s="15" t="s">
        <v>43</v>
      </c>
      <c r="J227" s="7">
        <v>-1</v>
      </c>
      <c r="K227" s="7">
        <v>0</v>
      </c>
      <c r="L227" s="7">
        <v>0</v>
      </c>
      <c r="N227" s="24">
        <v>1</v>
      </c>
      <c r="O227" s="7">
        <v>1</v>
      </c>
      <c r="Q227" s="7" t="s">
        <v>149</v>
      </c>
      <c r="R227" s="7" t="s">
        <v>149</v>
      </c>
      <c r="S227" s="15">
        <v>23</v>
      </c>
      <c r="T227" s="7" t="str">
        <f t="shared" si="301"/>
        <v>轰鸣</v>
      </c>
      <c r="U227" s="7" t="str">
        <f t="shared" ref="U227:Z227" si="330">T227</f>
        <v>轰鸣</v>
      </c>
      <c r="V227" s="7" t="str">
        <f t="shared" si="330"/>
        <v>轰鸣</v>
      </c>
      <c r="W227" s="7" t="str">
        <f t="shared" si="330"/>
        <v>轰鸣</v>
      </c>
      <c r="X227" s="7" t="str">
        <f t="shared" si="330"/>
        <v>轰鸣</v>
      </c>
      <c r="Y227" s="7" t="str">
        <f t="shared" si="330"/>
        <v>轰鸣</v>
      </c>
      <c r="Z227" s="7" t="str">
        <f t="shared" si="330"/>
        <v>轰鸣</v>
      </c>
      <c r="AA227" s="7" t="s">
        <v>81</v>
      </c>
      <c r="AB227" s="7" t="str">
        <f t="shared" ref="AB227:AH227" si="331">AA227</f>
        <v>无</v>
      </c>
      <c r="AC227" s="7" t="str">
        <f t="shared" si="331"/>
        <v>无</v>
      </c>
      <c r="AD227" s="7" t="str">
        <f t="shared" si="331"/>
        <v>无</v>
      </c>
      <c r="AE227" s="7" t="str">
        <f t="shared" si="331"/>
        <v>无</v>
      </c>
      <c r="AF227" s="7" t="str">
        <f t="shared" si="331"/>
        <v>无</v>
      </c>
      <c r="AG227" s="7" t="str">
        <f t="shared" si="331"/>
        <v>无</v>
      </c>
      <c r="AH227" s="7" t="str">
        <f t="shared" si="331"/>
        <v>无</v>
      </c>
      <c r="AI227" s="15">
        <v>1</v>
      </c>
      <c r="AJ227" s="15">
        <v>2</v>
      </c>
      <c r="AK227" s="15">
        <v>3</v>
      </c>
      <c r="AL227" s="15">
        <v>4</v>
      </c>
      <c r="AM227" s="15">
        <v>5</v>
      </c>
      <c r="AN227" s="15">
        <v>6</v>
      </c>
      <c r="AO227" s="15">
        <v>7</v>
      </c>
      <c r="AP227" s="15"/>
    </row>
    <row r="228" s="7" customFormat="1" spans="1:42">
      <c r="A228" s="15">
        <v>162027</v>
      </c>
      <c r="B228" s="15" t="s">
        <v>484</v>
      </c>
      <c r="C228" s="15" t="s">
        <v>484</v>
      </c>
      <c r="D228" s="17" t="s">
        <v>95</v>
      </c>
      <c r="E228" s="7">
        <v>2509</v>
      </c>
      <c r="F228" s="7">
        <v>-1</v>
      </c>
      <c r="G228" s="7">
        <v>0</v>
      </c>
      <c r="H228" s="7">
        <v>0</v>
      </c>
      <c r="I228" s="15" t="s">
        <v>43</v>
      </c>
      <c r="J228" s="7">
        <v>-1</v>
      </c>
      <c r="K228" s="7">
        <v>0</v>
      </c>
      <c r="L228" s="7">
        <v>0</v>
      </c>
      <c r="N228" s="24">
        <v>1</v>
      </c>
      <c r="O228" s="7">
        <v>1</v>
      </c>
      <c r="Q228" s="7" t="s">
        <v>149</v>
      </c>
      <c r="R228" s="7" t="s">
        <v>149</v>
      </c>
      <c r="S228" s="15">
        <v>24</v>
      </c>
      <c r="T228" s="7" t="str">
        <f t="shared" si="301"/>
        <v>缭乱</v>
      </c>
      <c r="U228" s="7" t="str">
        <f t="shared" ref="U228:Z228" si="332">T228</f>
        <v>缭乱</v>
      </c>
      <c r="V228" s="7" t="str">
        <f t="shared" si="332"/>
        <v>缭乱</v>
      </c>
      <c r="W228" s="7" t="str">
        <f t="shared" si="332"/>
        <v>缭乱</v>
      </c>
      <c r="X228" s="7" t="str">
        <f t="shared" si="332"/>
        <v>缭乱</v>
      </c>
      <c r="Y228" s="7" t="str">
        <f t="shared" si="332"/>
        <v>缭乱</v>
      </c>
      <c r="Z228" s="7" t="str">
        <f t="shared" si="332"/>
        <v>缭乱</v>
      </c>
      <c r="AA228" s="7" t="s">
        <v>81</v>
      </c>
      <c r="AB228" s="7" t="str">
        <f t="shared" ref="AB228:AH228" si="333">AA228</f>
        <v>无</v>
      </c>
      <c r="AC228" s="7" t="str">
        <f t="shared" si="333"/>
        <v>无</v>
      </c>
      <c r="AD228" s="7" t="str">
        <f t="shared" si="333"/>
        <v>无</v>
      </c>
      <c r="AE228" s="7" t="str">
        <f t="shared" si="333"/>
        <v>无</v>
      </c>
      <c r="AF228" s="7" t="str">
        <f t="shared" si="333"/>
        <v>无</v>
      </c>
      <c r="AG228" s="7" t="str">
        <f t="shared" si="333"/>
        <v>无</v>
      </c>
      <c r="AH228" s="7" t="str">
        <f t="shared" si="333"/>
        <v>无</v>
      </c>
      <c r="AI228" s="15">
        <v>1</v>
      </c>
      <c r="AJ228" s="15">
        <v>2</v>
      </c>
      <c r="AK228" s="15">
        <v>3</v>
      </c>
      <c r="AL228" s="15">
        <v>4</v>
      </c>
      <c r="AM228" s="15">
        <v>5</v>
      </c>
      <c r="AN228" s="15">
        <v>6</v>
      </c>
      <c r="AO228" s="15">
        <v>7</v>
      </c>
      <c r="AP228" s="15"/>
    </row>
    <row r="229" s="7" customFormat="1" spans="1:42">
      <c r="A229" s="15">
        <v>162028</v>
      </c>
      <c r="B229" s="15" t="s">
        <v>485</v>
      </c>
      <c r="C229" s="15" t="s">
        <v>485</v>
      </c>
      <c r="D229" s="16" t="s">
        <v>97</v>
      </c>
      <c r="E229" s="7">
        <v>2510</v>
      </c>
      <c r="F229" s="7">
        <v>-1</v>
      </c>
      <c r="G229" s="7">
        <v>0</v>
      </c>
      <c r="H229" s="7">
        <v>0</v>
      </c>
      <c r="I229" s="15" t="s">
        <v>43</v>
      </c>
      <c r="J229" s="7">
        <v>-1</v>
      </c>
      <c r="K229" s="7">
        <v>0</v>
      </c>
      <c r="L229" s="7">
        <v>0</v>
      </c>
      <c r="N229" s="24">
        <v>1</v>
      </c>
      <c r="O229" s="7">
        <v>1</v>
      </c>
      <c r="Q229" s="7" t="s">
        <v>149</v>
      </c>
      <c r="R229" s="7" t="s">
        <v>149</v>
      </c>
      <c r="S229" s="15">
        <v>25</v>
      </c>
      <c r="T229" s="7" t="str">
        <f t="shared" si="301"/>
        <v>藏招</v>
      </c>
      <c r="U229" s="7" t="str">
        <f t="shared" ref="U229:Z229" si="334">T229</f>
        <v>藏招</v>
      </c>
      <c r="V229" s="7" t="str">
        <f t="shared" si="334"/>
        <v>藏招</v>
      </c>
      <c r="W229" s="7" t="str">
        <f t="shared" si="334"/>
        <v>藏招</v>
      </c>
      <c r="X229" s="7" t="str">
        <f t="shared" si="334"/>
        <v>藏招</v>
      </c>
      <c r="Y229" s="7" t="str">
        <f t="shared" si="334"/>
        <v>藏招</v>
      </c>
      <c r="Z229" s="7" t="str">
        <f t="shared" si="334"/>
        <v>藏招</v>
      </c>
      <c r="AA229" s="7" t="s">
        <v>81</v>
      </c>
      <c r="AB229" s="7" t="str">
        <f t="shared" ref="AB229:AH229" si="335">AA229</f>
        <v>无</v>
      </c>
      <c r="AC229" s="7" t="str">
        <f t="shared" si="335"/>
        <v>无</v>
      </c>
      <c r="AD229" s="7" t="str">
        <f t="shared" si="335"/>
        <v>无</v>
      </c>
      <c r="AE229" s="7" t="str">
        <f t="shared" si="335"/>
        <v>无</v>
      </c>
      <c r="AF229" s="7" t="str">
        <f t="shared" si="335"/>
        <v>无</v>
      </c>
      <c r="AG229" s="7" t="str">
        <f t="shared" si="335"/>
        <v>无</v>
      </c>
      <c r="AH229" s="7" t="str">
        <f t="shared" si="335"/>
        <v>无</v>
      </c>
      <c r="AI229" s="15">
        <v>1</v>
      </c>
      <c r="AJ229" s="15">
        <v>2</v>
      </c>
      <c r="AK229" s="15">
        <v>3</v>
      </c>
      <c r="AL229" s="15">
        <v>4</v>
      </c>
      <c r="AM229" s="15">
        <v>5</v>
      </c>
      <c r="AN229" s="15">
        <v>6</v>
      </c>
      <c r="AO229" s="15">
        <v>7</v>
      </c>
      <c r="AP229" s="15"/>
    </row>
    <row r="230" s="7" customFormat="1" spans="1:42">
      <c r="A230" s="15">
        <v>162029</v>
      </c>
      <c r="B230" s="15" t="s">
        <v>486</v>
      </c>
      <c r="C230" s="15" t="s">
        <v>486</v>
      </c>
      <c r="D230" s="17" t="s">
        <v>89</v>
      </c>
      <c r="E230" s="7">
        <v>2511</v>
      </c>
      <c r="F230" s="7">
        <v>-1</v>
      </c>
      <c r="G230" s="7">
        <v>0</v>
      </c>
      <c r="H230" s="7">
        <v>0</v>
      </c>
      <c r="I230" s="15" t="s">
        <v>43</v>
      </c>
      <c r="J230" s="7">
        <v>-1</v>
      </c>
      <c r="K230" s="7">
        <v>0</v>
      </c>
      <c r="L230" s="7">
        <v>0</v>
      </c>
      <c r="N230" s="24">
        <v>1</v>
      </c>
      <c r="O230" s="7">
        <v>1</v>
      </c>
      <c r="Q230" s="7" t="s">
        <v>149</v>
      </c>
      <c r="R230" s="7" t="s">
        <v>149</v>
      </c>
      <c r="S230" s="15">
        <v>26</v>
      </c>
      <c r="T230" s="7" t="str">
        <f t="shared" si="301"/>
        <v>坚壁</v>
      </c>
      <c r="U230" s="7" t="str">
        <f t="shared" ref="U230:Z230" si="336">T230</f>
        <v>坚壁</v>
      </c>
      <c r="V230" s="7" t="str">
        <f t="shared" si="336"/>
        <v>坚壁</v>
      </c>
      <c r="W230" s="7" t="str">
        <f t="shared" si="336"/>
        <v>坚壁</v>
      </c>
      <c r="X230" s="7" t="str">
        <f t="shared" si="336"/>
        <v>坚壁</v>
      </c>
      <c r="Y230" s="7" t="str">
        <f t="shared" si="336"/>
        <v>坚壁</v>
      </c>
      <c r="Z230" s="7" t="str">
        <f t="shared" si="336"/>
        <v>坚壁</v>
      </c>
      <c r="AA230" s="7" t="s">
        <v>81</v>
      </c>
      <c r="AB230" s="7" t="str">
        <f t="shared" ref="AB230:AH230" si="337">AA230</f>
        <v>无</v>
      </c>
      <c r="AC230" s="7" t="str">
        <f t="shared" si="337"/>
        <v>无</v>
      </c>
      <c r="AD230" s="7" t="str">
        <f t="shared" si="337"/>
        <v>无</v>
      </c>
      <c r="AE230" s="7" t="str">
        <f t="shared" si="337"/>
        <v>无</v>
      </c>
      <c r="AF230" s="7" t="str">
        <f t="shared" si="337"/>
        <v>无</v>
      </c>
      <c r="AG230" s="7" t="str">
        <f t="shared" si="337"/>
        <v>无</v>
      </c>
      <c r="AH230" s="7" t="str">
        <f t="shared" si="337"/>
        <v>无</v>
      </c>
      <c r="AI230" s="15">
        <v>1</v>
      </c>
      <c r="AJ230" s="15">
        <v>2</v>
      </c>
      <c r="AK230" s="15">
        <v>3</v>
      </c>
      <c r="AL230" s="15">
        <v>4</v>
      </c>
      <c r="AM230" s="15">
        <v>5</v>
      </c>
      <c r="AN230" s="15">
        <v>6</v>
      </c>
      <c r="AO230" s="15">
        <v>7</v>
      </c>
      <c r="AP230" s="15"/>
    </row>
    <row r="231" s="7" customFormat="1" spans="1:42">
      <c r="A231" s="15">
        <v>162030</v>
      </c>
      <c r="B231" s="15" t="s">
        <v>487</v>
      </c>
      <c r="C231" s="15" t="s">
        <v>487</v>
      </c>
      <c r="D231" s="17" t="s">
        <v>103</v>
      </c>
      <c r="E231" s="7">
        <v>2512</v>
      </c>
      <c r="F231" s="7">
        <v>-1</v>
      </c>
      <c r="G231" s="7">
        <v>0</v>
      </c>
      <c r="H231" s="7">
        <v>0</v>
      </c>
      <c r="I231" s="15" t="s">
        <v>43</v>
      </c>
      <c r="J231" s="7">
        <v>-1</v>
      </c>
      <c r="K231" s="7">
        <v>0</v>
      </c>
      <c r="L231" s="7">
        <v>0</v>
      </c>
      <c r="N231" s="24">
        <v>1</v>
      </c>
      <c r="O231" s="7">
        <v>1</v>
      </c>
      <c r="Q231" s="7" t="s">
        <v>149</v>
      </c>
      <c r="R231" s="7" t="s">
        <v>149</v>
      </c>
      <c r="S231" s="15">
        <v>27</v>
      </c>
      <c r="T231" s="7" t="str">
        <f t="shared" si="301"/>
        <v>套索</v>
      </c>
      <c r="U231" s="7" t="str">
        <f t="shared" ref="U231:Z231" si="338">T231</f>
        <v>套索</v>
      </c>
      <c r="V231" s="7" t="str">
        <f t="shared" si="338"/>
        <v>套索</v>
      </c>
      <c r="W231" s="7" t="str">
        <f t="shared" si="338"/>
        <v>套索</v>
      </c>
      <c r="X231" s="7" t="str">
        <f t="shared" si="338"/>
        <v>套索</v>
      </c>
      <c r="Y231" s="7" t="str">
        <f t="shared" si="338"/>
        <v>套索</v>
      </c>
      <c r="Z231" s="7" t="str">
        <f t="shared" si="338"/>
        <v>套索</v>
      </c>
      <c r="AA231" s="7" t="s">
        <v>81</v>
      </c>
      <c r="AB231" s="7" t="str">
        <f t="shared" ref="AB231:AH231" si="339">AA231</f>
        <v>无</v>
      </c>
      <c r="AC231" s="7" t="str">
        <f t="shared" si="339"/>
        <v>无</v>
      </c>
      <c r="AD231" s="7" t="str">
        <f t="shared" si="339"/>
        <v>无</v>
      </c>
      <c r="AE231" s="7" t="str">
        <f t="shared" si="339"/>
        <v>无</v>
      </c>
      <c r="AF231" s="7" t="str">
        <f t="shared" si="339"/>
        <v>无</v>
      </c>
      <c r="AG231" s="7" t="str">
        <f t="shared" si="339"/>
        <v>无</v>
      </c>
      <c r="AH231" s="7" t="str">
        <f t="shared" si="339"/>
        <v>无</v>
      </c>
      <c r="AI231" s="15">
        <v>1</v>
      </c>
      <c r="AJ231" s="15">
        <v>2</v>
      </c>
      <c r="AK231" s="15">
        <v>3</v>
      </c>
      <c r="AL231" s="15">
        <v>4</v>
      </c>
      <c r="AM231" s="15">
        <v>5</v>
      </c>
      <c r="AN231" s="15">
        <v>6</v>
      </c>
      <c r="AO231" s="15">
        <v>7</v>
      </c>
      <c r="AP231" s="15"/>
    </row>
    <row r="232" s="7" customFormat="1" spans="1:42">
      <c r="A232" s="15">
        <v>162031</v>
      </c>
      <c r="B232" s="15" t="s">
        <v>488</v>
      </c>
      <c r="C232" s="15" t="s">
        <v>488</v>
      </c>
      <c r="D232" s="17" t="s">
        <v>95</v>
      </c>
      <c r="E232" s="7">
        <v>2513</v>
      </c>
      <c r="F232" s="7">
        <v>-1</v>
      </c>
      <c r="G232" s="7">
        <v>0</v>
      </c>
      <c r="H232" s="7">
        <v>0</v>
      </c>
      <c r="I232" s="15" t="s">
        <v>43</v>
      </c>
      <c r="J232" s="7">
        <v>-1</v>
      </c>
      <c r="K232" s="7">
        <v>0</v>
      </c>
      <c r="L232" s="7">
        <v>0</v>
      </c>
      <c r="N232" s="24">
        <v>1</v>
      </c>
      <c r="O232" s="7">
        <v>1</v>
      </c>
      <c r="Q232" s="7" t="s">
        <v>149</v>
      </c>
      <c r="R232" s="7" t="s">
        <v>149</v>
      </c>
      <c r="S232" s="15">
        <v>28</v>
      </c>
      <c r="T232" s="7" t="str">
        <f t="shared" si="301"/>
        <v>洞察</v>
      </c>
      <c r="U232" s="7" t="str">
        <f t="shared" ref="U232:Z232" si="340">T232</f>
        <v>洞察</v>
      </c>
      <c r="V232" s="7" t="str">
        <f t="shared" si="340"/>
        <v>洞察</v>
      </c>
      <c r="W232" s="7" t="str">
        <f t="shared" si="340"/>
        <v>洞察</v>
      </c>
      <c r="X232" s="7" t="str">
        <f t="shared" si="340"/>
        <v>洞察</v>
      </c>
      <c r="Y232" s="7" t="str">
        <f t="shared" si="340"/>
        <v>洞察</v>
      </c>
      <c r="Z232" s="7" t="str">
        <f t="shared" si="340"/>
        <v>洞察</v>
      </c>
      <c r="AA232" s="7" t="s">
        <v>81</v>
      </c>
      <c r="AB232" s="7" t="str">
        <f t="shared" ref="AB232:AH232" si="341">AA232</f>
        <v>无</v>
      </c>
      <c r="AC232" s="7" t="str">
        <f t="shared" si="341"/>
        <v>无</v>
      </c>
      <c r="AD232" s="7" t="str">
        <f t="shared" si="341"/>
        <v>无</v>
      </c>
      <c r="AE232" s="7" t="str">
        <f t="shared" si="341"/>
        <v>无</v>
      </c>
      <c r="AF232" s="7" t="str">
        <f t="shared" si="341"/>
        <v>无</v>
      </c>
      <c r="AG232" s="7" t="str">
        <f t="shared" si="341"/>
        <v>无</v>
      </c>
      <c r="AH232" s="7" t="str">
        <f t="shared" si="341"/>
        <v>无</v>
      </c>
      <c r="AI232" s="15">
        <v>1</v>
      </c>
      <c r="AJ232" s="15">
        <v>2</v>
      </c>
      <c r="AK232" s="15">
        <v>3</v>
      </c>
      <c r="AL232" s="15">
        <v>4</v>
      </c>
      <c r="AM232" s="15">
        <v>5</v>
      </c>
      <c r="AN232" s="15">
        <v>6</v>
      </c>
      <c r="AO232" s="15">
        <v>7</v>
      </c>
      <c r="AP232" s="15"/>
    </row>
    <row r="233" s="7" customFormat="1" spans="1:42">
      <c r="A233" s="15">
        <v>162032</v>
      </c>
      <c r="B233" s="15" t="s">
        <v>489</v>
      </c>
      <c r="C233" s="15" t="s">
        <v>489</v>
      </c>
      <c r="D233" s="20" t="s">
        <v>113</v>
      </c>
      <c r="E233" s="7">
        <v>2380</v>
      </c>
      <c r="F233" s="7">
        <v>-1</v>
      </c>
      <c r="G233" s="7">
        <v>0</v>
      </c>
      <c r="H233" s="7">
        <v>0</v>
      </c>
      <c r="I233" s="15" t="s">
        <v>43</v>
      </c>
      <c r="J233" s="7">
        <v>-1</v>
      </c>
      <c r="K233" s="7">
        <v>0</v>
      </c>
      <c r="L233" s="7">
        <v>0</v>
      </c>
      <c r="N233" s="24">
        <v>1</v>
      </c>
      <c r="O233" s="7">
        <v>1</v>
      </c>
      <c r="Q233" s="7" t="s">
        <v>149</v>
      </c>
      <c r="R233" s="7" t="s">
        <v>149</v>
      </c>
      <c r="S233" s="15">
        <v>29</v>
      </c>
      <c r="T233" s="7" t="str">
        <f t="shared" si="301"/>
        <v>镇妖神使</v>
      </c>
      <c r="U233" s="7" t="str">
        <f t="shared" ref="U233:Z233" si="342">T233</f>
        <v>镇妖神使</v>
      </c>
      <c r="V233" s="7" t="str">
        <f t="shared" si="342"/>
        <v>镇妖神使</v>
      </c>
      <c r="W233" s="7" t="str">
        <f t="shared" si="342"/>
        <v>镇妖神使</v>
      </c>
      <c r="X233" s="7" t="str">
        <f t="shared" si="342"/>
        <v>镇妖神使</v>
      </c>
      <c r="Y233" s="7" t="str">
        <f t="shared" si="342"/>
        <v>镇妖神使</v>
      </c>
      <c r="Z233" s="7" t="str">
        <f t="shared" si="342"/>
        <v>镇妖神使</v>
      </c>
      <c r="AA233" s="7" t="s">
        <v>81</v>
      </c>
      <c r="AB233" s="7" t="str">
        <f t="shared" ref="AB233:AH233" si="343">AA233</f>
        <v>无</v>
      </c>
      <c r="AC233" s="7" t="str">
        <f t="shared" si="343"/>
        <v>无</v>
      </c>
      <c r="AD233" s="7" t="str">
        <f t="shared" si="343"/>
        <v>无</v>
      </c>
      <c r="AE233" s="7" t="str">
        <f t="shared" si="343"/>
        <v>无</v>
      </c>
      <c r="AF233" s="7" t="str">
        <f t="shared" si="343"/>
        <v>无</v>
      </c>
      <c r="AG233" s="7" t="str">
        <f t="shared" si="343"/>
        <v>无</v>
      </c>
      <c r="AH233" s="7" t="str">
        <f t="shared" si="343"/>
        <v>无</v>
      </c>
      <c r="AI233" s="15">
        <v>1</v>
      </c>
      <c r="AJ233" s="15">
        <v>2</v>
      </c>
      <c r="AK233" s="15">
        <v>3</v>
      </c>
      <c r="AL233" s="15">
        <v>4</v>
      </c>
      <c r="AM233" s="15">
        <v>5</v>
      </c>
      <c r="AN233" s="15">
        <v>6</v>
      </c>
      <c r="AO233" s="15">
        <v>7</v>
      </c>
      <c r="AP233" s="15"/>
    </row>
    <row r="234" s="1" customFormat="1" spans="1:42">
      <c r="A234" s="2">
        <v>163000</v>
      </c>
      <c r="B234" s="3" t="s">
        <v>490</v>
      </c>
      <c r="C234" s="3" t="s">
        <v>490</v>
      </c>
      <c r="D234" s="4" t="s">
        <v>491</v>
      </c>
      <c r="E234" s="1">
        <v>81</v>
      </c>
      <c r="F234" s="1">
        <v>-1</v>
      </c>
      <c r="G234" s="1">
        <v>0</v>
      </c>
      <c r="H234" s="1">
        <v>0</v>
      </c>
      <c r="I234" s="5" t="s">
        <v>43</v>
      </c>
      <c r="J234" s="1">
        <v>-1</v>
      </c>
      <c r="K234" s="1">
        <v>0</v>
      </c>
      <c r="L234" s="1">
        <v>0</v>
      </c>
      <c r="N234" s="6">
        <v>1</v>
      </c>
      <c r="O234" s="1">
        <v>1</v>
      </c>
      <c r="Q234" s="4" t="s">
        <v>491</v>
      </c>
      <c r="R234" s="4" t="s">
        <v>492</v>
      </c>
      <c r="S234" s="5">
        <v>1</v>
      </c>
      <c r="T234" s="4" t="s">
        <v>492</v>
      </c>
      <c r="U234" s="4" t="s">
        <v>492</v>
      </c>
      <c r="V234" s="4" t="s">
        <v>492</v>
      </c>
      <c r="W234" s="4" t="s">
        <v>492</v>
      </c>
      <c r="X234" s="4" t="s">
        <v>492</v>
      </c>
      <c r="Y234" s="4" t="s">
        <v>492</v>
      </c>
      <c r="Z234" s="4" t="s">
        <v>492</v>
      </c>
      <c r="AA234" s="4" t="s">
        <v>229</v>
      </c>
      <c r="AB234" s="4" t="s">
        <v>229</v>
      </c>
      <c r="AC234" s="4" t="s">
        <v>229</v>
      </c>
      <c r="AD234" s="4" t="s">
        <v>229</v>
      </c>
      <c r="AE234" s="4" t="s">
        <v>229</v>
      </c>
      <c r="AF234" s="4" t="s">
        <v>229</v>
      </c>
      <c r="AG234" s="4" t="s">
        <v>229</v>
      </c>
      <c r="AH234" s="4" t="s">
        <v>229</v>
      </c>
      <c r="AI234" s="1">
        <v>1</v>
      </c>
      <c r="AJ234" s="1">
        <v>200</v>
      </c>
      <c r="AK234" s="1">
        <v>200</v>
      </c>
      <c r="AL234" s="1">
        <v>200</v>
      </c>
      <c r="AM234" s="1">
        <v>200</v>
      </c>
      <c r="AN234" s="1">
        <v>200</v>
      </c>
      <c r="AO234" s="1">
        <v>200</v>
      </c>
      <c r="AP234" s="5"/>
    </row>
    <row r="235" s="1" customFormat="1" spans="1:42">
      <c r="A235" s="2">
        <v>163001</v>
      </c>
      <c r="B235" s="3" t="s">
        <v>493</v>
      </c>
      <c r="C235" s="3" t="s">
        <v>493</v>
      </c>
      <c r="D235" s="4" t="s">
        <v>494</v>
      </c>
      <c r="E235" s="1">
        <v>82</v>
      </c>
      <c r="F235" s="1">
        <v>100</v>
      </c>
      <c r="G235" s="1">
        <v>2</v>
      </c>
      <c r="H235" s="1">
        <v>10</v>
      </c>
      <c r="I235" s="5" t="s">
        <v>49</v>
      </c>
      <c r="J235" s="1">
        <v>-1</v>
      </c>
      <c r="K235" s="1">
        <v>0</v>
      </c>
      <c r="L235" s="1">
        <v>0</v>
      </c>
      <c r="N235" s="6">
        <v>480</v>
      </c>
      <c r="O235" s="1">
        <v>1</v>
      </c>
      <c r="Q235" s="4" t="s">
        <v>494</v>
      </c>
      <c r="R235" s="4" t="s">
        <v>495</v>
      </c>
      <c r="S235" s="5">
        <v>2</v>
      </c>
      <c r="T235" s="4" t="s">
        <v>495</v>
      </c>
      <c r="U235" s="4" t="s">
        <v>495</v>
      </c>
      <c r="V235" s="4" t="s">
        <v>495</v>
      </c>
      <c r="W235" s="4" t="s">
        <v>495</v>
      </c>
      <c r="X235" s="4" t="s">
        <v>495</v>
      </c>
      <c r="Y235" s="4" t="s">
        <v>495</v>
      </c>
      <c r="Z235" s="4" t="s">
        <v>495</v>
      </c>
      <c r="AA235" s="4" t="s">
        <v>121</v>
      </c>
      <c r="AB235" s="4" t="s">
        <v>122</v>
      </c>
      <c r="AC235" s="4" t="s">
        <v>122</v>
      </c>
      <c r="AD235" s="4" t="s">
        <v>122</v>
      </c>
      <c r="AE235" s="4" t="s">
        <v>122</v>
      </c>
      <c r="AF235" s="4" t="s">
        <v>122</v>
      </c>
      <c r="AG235" s="4" t="s">
        <v>122</v>
      </c>
      <c r="AH235" s="4" t="s">
        <v>122</v>
      </c>
      <c r="AI235" s="1">
        <v>1</v>
      </c>
      <c r="AJ235" s="1">
        <v>60</v>
      </c>
      <c r="AK235" s="1">
        <v>70</v>
      </c>
      <c r="AL235" s="1">
        <v>90</v>
      </c>
      <c r="AM235" s="1">
        <v>200</v>
      </c>
      <c r="AN235" s="1">
        <v>200</v>
      </c>
      <c r="AO235" s="1">
        <v>200</v>
      </c>
      <c r="AP235" s="5"/>
    </row>
    <row r="236" s="1" customFormat="1" spans="1:42">
      <c r="A236" s="2">
        <v>163002</v>
      </c>
      <c r="B236" s="3" t="s">
        <v>496</v>
      </c>
      <c r="C236" s="3" t="s">
        <v>496</v>
      </c>
      <c r="D236" s="4" t="s">
        <v>497</v>
      </c>
      <c r="E236" s="1">
        <v>83</v>
      </c>
      <c r="F236" s="1">
        <v>100</v>
      </c>
      <c r="G236" s="1">
        <v>2</v>
      </c>
      <c r="H236" s="1">
        <v>10</v>
      </c>
      <c r="I236" s="5" t="s">
        <v>49</v>
      </c>
      <c r="J236" s="1">
        <v>-1</v>
      </c>
      <c r="K236" s="1">
        <v>0</v>
      </c>
      <c r="L236" s="1">
        <v>0</v>
      </c>
      <c r="N236" s="6">
        <v>4127</v>
      </c>
      <c r="O236" s="1">
        <v>1</v>
      </c>
      <c r="Q236" s="4" t="s">
        <v>497</v>
      </c>
      <c r="R236" s="4" t="s">
        <v>498</v>
      </c>
      <c r="S236" s="5">
        <v>3</v>
      </c>
      <c r="T236" s="4" t="s">
        <v>498</v>
      </c>
      <c r="U236" s="4" t="s">
        <v>498</v>
      </c>
      <c r="V236" s="4" t="s">
        <v>498</v>
      </c>
      <c r="W236" s="4" t="s">
        <v>498</v>
      </c>
      <c r="X236" s="4" t="s">
        <v>498</v>
      </c>
      <c r="Y236" s="4" t="s">
        <v>498</v>
      </c>
      <c r="Z236" s="4" t="s">
        <v>498</v>
      </c>
      <c r="AA236" s="4" t="s">
        <v>344</v>
      </c>
      <c r="AB236" s="4" t="s">
        <v>344</v>
      </c>
      <c r="AC236" s="4" t="s">
        <v>344</v>
      </c>
      <c r="AD236" s="4" t="s">
        <v>344</v>
      </c>
      <c r="AE236" s="4" t="s">
        <v>344</v>
      </c>
      <c r="AF236" s="4" t="s">
        <v>344</v>
      </c>
      <c r="AG236" s="4" t="s">
        <v>344</v>
      </c>
      <c r="AH236" s="4" t="s">
        <v>344</v>
      </c>
      <c r="AI236" s="1">
        <v>1</v>
      </c>
      <c r="AJ236" s="1">
        <v>200</v>
      </c>
      <c r="AK236" s="1">
        <v>200</v>
      </c>
      <c r="AL236" s="1">
        <v>200</v>
      </c>
      <c r="AM236" s="1">
        <v>200</v>
      </c>
      <c r="AN236" s="1">
        <v>200</v>
      </c>
      <c r="AO236" s="1">
        <v>200</v>
      </c>
      <c r="AP236" s="5"/>
    </row>
    <row r="237" s="1" customFormat="1" spans="1:42">
      <c r="A237" s="2">
        <v>163003</v>
      </c>
      <c r="B237" s="3" t="s">
        <v>499</v>
      </c>
      <c r="C237" s="3" t="s">
        <v>499</v>
      </c>
      <c r="D237" s="4" t="s">
        <v>500</v>
      </c>
      <c r="E237" s="1">
        <v>84</v>
      </c>
      <c r="F237" s="1">
        <v>100</v>
      </c>
      <c r="G237" s="1">
        <v>2</v>
      </c>
      <c r="H237" s="1">
        <v>10</v>
      </c>
      <c r="I237" s="5" t="s">
        <v>49</v>
      </c>
      <c r="J237" s="1">
        <v>-1</v>
      </c>
      <c r="K237" s="1">
        <v>0</v>
      </c>
      <c r="L237" s="1">
        <v>0</v>
      </c>
      <c r="N237" s="6">
        <v>4127</v>
      </c>
      <c r="O237" s="1">
        <v>1</v>
      </c>
      <c r="Q237" s="4" t="s">
        <v>500</v>
      </c>
      <c r="R237" s="4" t="s">
        <v>501</v>
      </c>
      <c r="S237" s="5">
        <v>3</v>
      </c>
      <c r="T237" s="4" t="s">
        <v>501</v>
      </c>
      <c r="U237" s="4" t="s">
        <v>501</v>
      </c>
      <c r="V237" s="4" t="s">
        <v>501</v>
      </c>
      <c r="W237" s="4" t="s">
        <v>501</v>
      </c>
      <c r="X237" s="4" t="s">
        <v>501</v>
      </c>
      <c r="Y237" s="4" t="s">
        <v>501</v>
      </c>
      <c r="Z237" s="4" t="s">
        <v>501</v>
      </c>
      <c r="AA237" s="4" t="s">
        <v>502</v>
      </c>
      <c r="AB237" s="4" t="s">
        <v>503</v>
      </c>
      <c r="AC237" s="4" t="s">
        <v>503</v>
      </c>
      <c r="AD237" s="4" t="s">
        <v>503</v>
      </c>
      <c r="AE237" s="4" t="s">
        <v>503</v>
      </c>
      <c r="AF237" s="4" t="s">
        <v>503</v>
      </c>
      <c r="AG237" s="4" t="s">
        <v>503</v>
      </c>
      <c r="AH237" s="4" t="s">
        <v>503</v>
      </c>
      <c r="AI237" s="1">
        <v>1</v>
      </c>
      <c r="AJ237" s="1">
        <v>200</v>
      </c>
      <c r="AK237" s="1">
        <v>200</v>
      </c>
      <c r="AL237" s="1">
        <v>200</v>
      </c>
      <c r="AM237" s="1">
        <v>200</v>
      </c>
      <c r="AN237" s="1">
        <v>200</v>
      </c>
      <c r="AO237" s="1">
        <v>200</v>
      </c>
      <c r="AP237" s="5"/>
    </row>
    <row r="238" s="1" customFormat="1" spans="1:42">
      <c r="A238" s="2">
        <v>163004</v>
      </c>
      <c r="B238" s="3" t="s">
        <v>504</v>
      </c>
      <c r="C238" s="3" t="s">
        <v>504</v>
      </c>
      <c r="D238" s="4" t="s">
        <v>505</v>
      </c>
      <c r="E238" s="1">
        <v>85</v>
      </c>
      <c r="F238" s="1">
        <v>100</v>
      </c>
      <c r="G238" s="1">
        <v>2</v>
      </c>
      <c r="H238" s="1">
        <v>10</v>
      </c>
      <c r="I238" s="5" t="s">
        <v>49</v>
      </c>
      <c r="J238" s="1">
        <v>-1</v>
      </c>
      <c r="K238" s="1">
        <v>0</v>
      </c>
      <c r="L238" s="1">
        <v>0</v>
      </c>
      <c r="N238" s="6">
        <v>4127</v>
      </c>
      <c r="O238" s="1">
        <v>1</v>
      </c>
      <c r="Q238" s="4" t="s">
        <v>505</v>
      </c>
      <c r="R238" s="4" t="s">
        <v>506</v>
      </c>
      <c r="S238" s="5">
        <v>5</v>
      </c>
      <c r="T238" s="4" t="s">
        <v>506</v>
      </c>
      <c r="U238" s="4" t="s">
        <v>506</v>
      </c>
      <c r="V238" s="4" t="s">
        <v>506</v>
      </c>
      <c r="W238" s="4" t="s">
        <v>506</v>
      </c>
      <c r="X238" s="4" t="s">
        <v>506</v>
      </c>
      <c r="Y238" s="4" t="s">
        <v>506</v>
      </c>
      <c r="Z238" s="4" t="s">
        <v>506</v>
      </c>
      <c r="AA238" s="4" t="s">
        <v>507</v>
      </c>
      <c r="AB238" s="4" t="s">
        <v>508</v>
      </c>
      <c r="AC238" s="4" t="s">
        <v>508</v>
      </c>
      <c r="AD238" s="4" t="s">
        <v>508</v>
      </c>
      <c r="AE238" s="4" t="s">
        <v>508</v>
      </c>
      <c r="AF238" s="4" t="s">
        <v>508</v>
      </c>
      <c r="AG238" s="4" t="s">
        <v>508</v>
      </c>
      <c r="AH238" s="4" t="s">
        <v>508</v>
      </c>
      <c r="AI238" s="1">
        <v>1</v>
      </c>
      <c r="AJ238" s="1">
        <v>200</v>
      </c>
      <c r="AK238" s="1">
        <v>200</v>
      </c>
      <c r="AL238" s="1">
        <v>200</v>
      </c>
      <c r="AM238" s="1">
        <v>200</v>
      </c>
      <c r="AN238" s="1">
        <v>200</v>
      </c>
      <c r="AO238" s="1">
        <v>200</v>
      </c>
      <c r="AP238" s="5"/>
    </row>
    <row r="239" s="1" customFormat="1" spans="1:42">
      <c r="A239" s="2">
        <v>163005</v>
      </c>
      <c r="B239" s="3" t="s">
        <v>509</v>
      </c>
      <c r="C239" s="3" t="s">
        <v>509</v>
      </c>
      <c r="D239" s="4" t="s">
        <v>510</v>
      </c>
      <c r="E239" s="1">
        <v>86</v>
      </c>
      <c r="F239" s="1">
        <v>100</v>
      </c>
      <c r="G239" s="1">
        <v>2</v>
      </c>
      <c r="H239" s="1">
        <v>10</v>
      </c>
      <c r="I239" s="5" t="s">
        <v>49</v>
      </c>
      <c r="J239" s="1">
        <v>-1</v>
      </c>
      <c r="K239" s="1">
        <v>0</v>
      </c>
      <c r="L239" s="1">
        <v>0</v>
      </c>
      <c r="N239" s="6">
        <v>4127</v>
      </c>
      <c r="O239" s="1">
        <v>1</v>
      </c>
      <c r="Q239" s="4" t="s">
        <v>511</v>
      </c>
      <c r="R239" s="4" t="s">
        <v>512</v>
      </c>
      <c r="S239" s="5">
        <v>4</v>
      </c>
      <c r="T239" s="4" t="s">
        <v>512</v>
      </c>
      <c r="U239" s="4" t="s">
        <v>512</v>
      </c>
      <c r="V239" s="4" t="s">
        <v>512</v>
      </c>
      <c r="W239" s="4" t="s">
        <v>512</v>
      </c>
      <c r="X239" s="4" t="s">
        <v>512</v>
      </c>
      <c r="Y239" s="4" t="s">
        <v>512</v>
      </c>
      <c r="Z239" s="4" t="s">
        <v>512</v>
      </c>
      <c r="AA239" s="4" t="s">
        <v>513</v>
      </c>
      <c r="AB239" s="4" t="s">
        <v>514</v>
      </c>
      <c r="AC239" s="4" t="s">
        <v>514</v>
      </c>
      <c r="AD239" s="4" t="s">
        <v>514</v>
      </c>
      <c r="AE239" s="4" t="s">
        <v>514</v>
      </c>
      <c r="AF239" s="4" t="s">
        <v>514</v>
      </c>
      <c r="AG239" s="4" t="s">
        <v>514</v>
      </c>
      <c r="AH239" s="4" t="s">
        <v>514</v>
      </c>
      <c r="AI239" s="1">
        <v>1</v>
      </c>
      <c r="AJ239" s="1">
        <v>200</v>
      </c>
      <c r="AK239" s="1">
        <v>200</v>
      </c>
      <c r="AL239" s="1">
        <v>200</v>
      </c>
      <c r="AM239" s="1">
        <v>200</v>
      </c>
      <c r="AN239" s="1">
        <v>200</v>
      </c>
      <c r="AO239" s="1">
        <v>200</v>
      </c>
      <c r="AP239" s="5"/>
    </row>
    <row r="240" s="1" customFormat="1" spans="1:42">
      <c r="A240" s="2">
        <v>163006</v>
      </c>
      <c r="B240" s="3" t="s">
        <v>515</v>
      </c>
      <c r="C240" s="3" t="s">
        <v>515</v>
      </c>
      <c r="D240" s="4" t="s">
        <v>516</v>
      </c>
      <c r="E240" s="1">
        <v>87</v>
      </c>
      <c r="F240" s="1">
        <v>-1</v>
      </c>
      <c r="G240" s="1">
        <v>0.667</v>
      </c>
      <c r="H240" s="1">
        <v>6</v>
      </c>
      <c r="I240" s="5" t="s">
        <v>71</v>
      </c>
      <c r="J240" s="1">
        <v>-1</v>
      </c>
      <c r="K240" s="1">
        <v>0</v>
      </c>
      <c r="L240" s="1">
        <v>0</v>
      </c>
      <c r="N240" s="6">
        <v>1</v>
      </c>
      <c r="O240" s="1">
        <v>1</v>
      </c>
      <c r="Q240" s="4" t="s">
        <v>516</v>
      </c>
      <c r="R240" s="4" t="s">
        <v>517</v>
      </c>
      <c r="S240" s="5">
        <v>7</v>
      </c>
      <c r="T240" s="4" t="s">
        <v>517</v>
      </c>
      <c r="U240" s="4" t="s">
        <v>517</v>
      </c>
      <c r="V240" s="4" t="s">
        <v>517</v>
      </c>
      <c r="W240" s="4" t="s">
        <v>517</v>
      </c>
      <c r="X240" s="4" t="s">
        <v>517</v>
      </c>
      <c r="Y240" s="4" t="s">
        <v>517</v>
      </c>
      <c r="Z240" s="4" t="s">
        <v>517</v>
      </c>
      <c r="AA240" s="4" t="s">
        <v>518</v>
      </c>
      <c r="AB240" s="4" t="s">
        <v>518</v>
      </c>
      <c r="AC240" s="4" t="s">
        <v>518</v>
      </c>
      <c r="AD240" s="4" t="s">
        <v>518</v>
      </c>
      <c r="AE240" s="4" t="s">
        <v>518</v>
      </c>
      <c r="AF240" s="4" t="s">
        <v>518</v>
      </c>
      <c r="AG240" s="4" t="s">
        <v>518</v>
      </c>
      <c r="AH240" s="4" t="s">
        <v>518</v>
      </c>
      <c r="AI240" s="1">
        <v>1</v>
      </c>
      <c r="AJ240" s="1">
        <v>200</v>
      </c>
      <c r="AK240" s="1">
        <v>200</v>
      </c>
      <c r="AL240" s="1">
        <v>200</v>
      </c>
      <c r="AM240" s="1">
        <v>200</v>
      </c>
      <c r="AN240" s="1">
        <v>200</v>
      </c>
      <c r="AO240" s="1">
        <v>200</v>
      </c>
      <c r="AP240" s="5"/>
    </row>
    <row r="241" s="1" customFormat="1" spans="1:42">
      <c r="A241" s="2">
        <v>163007</v>
      </c>
      <c r="B241" s="3" t="s">
        <v>519</v>
      </c>
      <c r="C241" s="3" t="s">
        <v>519</v>
      </c>
      <c r="D241" s="4" t="s">
        <v>520</v>
      </c>
      <c r="E241" s="1">
        <v>88</v>
      </c>
      <c r="F241" s="1">
        <v>120</v>
      </c>
      <c r="G241" s="1">
        <v>0</v>
      </c>
      <c r="H241" s="1">
        <v>120</v>
      </c>
      <c r="I241" s="5" t="s">
        <v>76</v>
      </c>
      <c r="J241" s="1">
        <v>-1</v>
      </c>
      <c r="K241" s="1">
        <v>0</v>
      </c>
      <c r="L241" s="1">
        <v>0</v>
      </c>
      <c r="N241" s="6">
        <v>4127</v>
      </c>
      <c r="O241" s="1">
        <v>1</v>
      </c>
      <c r="Q241" s="4" t="s">
        <v>520</v>
      </c>
      <c r="R241" s="4" t="s">
        <v>521</v>
      </c>
      <c r="S241" s="5">
        <v>8</v>
      </c>
      <c r="T241" s="4" t="s">
        <v>521</v>
      </c>
      <c r="U241" s="4" t="s">
        <v>521</v>
      </c>
      <c r="V241" s="4" t="s">
        <v>521</v>
      </c>
      <c r="W241" s="4" t="s">
        <v>521</v>
      </c>
      <c r="X241" s="4" t="s">
        <v>521</v>
      </c>
      <c r="Y241" s="4" t="s">
        <v>521</v>
      </c>
      <c r="Z241" s="4" t="s">
        <v>521</v>
      </c>
      <c r="AA241" s="4" t="s">
        <v>78</v>
      </c>
      <c r="AB241" s="4" t="s">
        <v>78</v>
      </c>
      <c r="AC241" s="4" t="s">
        <v>78</v>
      </c>
      <c r="AD241" s="4" t="s">
        <v>78</v>
      </c>
      <c r="AE241" s="4" t="s">
        <v>78</v>
      </c>
      <c r="AF241" s="4" t="s">
        <v>78</v>
      </c>
      <c r="AG241" s="4" t="s">
        <v>78</v>
      </c>
      <c r="AH241" s="4" t="s">
        <v>78</v>
      </c>
      <c r="AI241" s="1">
        <v>1</v>
      </c>
      <c r="AJ241" s="1">
        <v>2</v>
      </c>
      <c r="AK241" s="1">
        <v>3</v>
      </c>
      <c r="AL241" s="1">
        <v>4</v>
      </c>
      <c r="AM241" s="1">
        <v>5</v>
      </c>
      <c r="AN241" s="1">
        <v>6</v>
      </c>
      <c r="AO241" s="1">
        <v>7</v>
      </c>
      <c r="AP241" s="5"/>
    </row>
    <row r="242" s="7" customFormat="1" spans="1:42">
      <c r="A242" s="15">
        <v>163012</v>
      </c>
      <c r="B242" s="15" t="s">
        <v>522</v>
      </c>
      <c r="C242" s="15" t="s">
        <v>522</v>
      </c>
      <c r="D242" s="16" t="s">
        <v>80</v>
      </c>
      <c r="E242" s="7">
        <v>2514</v>
      </c>
      <c r="F242" s="7">
        <v>-1</v>
      </c>
      <c r="G242" s="7">
        <v>0</v>
      </c>
      <c r="H242" s="7">
        <v>0</v>
      </c>
      <c r="I242" s="15" t="s">
        <v>43</v>
      </c>
      <c r="J242" s="7">
        <v>-1</v>
      </c>
      <c r="K242" s="7">
        <v>0</v>
      </c>
      <c r="L242" s="7">
        <v>0</v>
      </c>
      <c r="N242" s="24">
        <v>1</v>
      </c>
      <c r="O242" s="7">
        <v>1</v>
      </c>
      <c r="Q242" s="7" t="s">
        <v>149</v>
      </c>
      <c r="R242" s="7" t="s">
        <v>149</v>
      </c>
      <c r="S242" s="15">
        <v>9</v>
      </c>
      <c r="T242" s="7" t="str">
        <f t="shared" ref="T242:T262" si="344">B242</f>
        <v>销武</v>
      </c>
      <c r="U242" s="7" t="str">
        <f t="shared" ref="U242:Z242" si="345">T242</f>
        <v>销武</v>
      </c>
      <c r="V242" s="7" t="str">
        <f t="shared" si="345"/>
        <v>销武</v>
      </c>
      <c r="W242" s="7" t="str">
        <f t="shared" si="345"/>
        <v>销武</v>
      </c>
      <c r="X242" s="7" t="str">
        <f t="shared" si="345"/>
        <v>销武</v>
      </c>
      <c r="Y242" s="7" t="str">
        <f t="shared" si="345"/>
        <v>销武</v>
      </c>
      <c r="Z242" s="7" t="str">
        <f t="shared" si="345"/>
        <v>销武</v>
      </c>
      <c r="AA242" s="7" t="s">
        <v>81</v>
      </c>
      <c r="AB242" s="7" t="str">
        <f t="shared" ref="AB242:AH242" si="346">AA242</f>
        <v>无</v>
      </c>
      <c r="AC242" s="7" t="str">
        <f t="shared" si="346"/>
        <v>无</v>
      </c>
      <c r="AD242" s="7" t="str">
        <f t="shared" si="346"/>
        <v>无</v>
      </c>
      <c r="AE242" s="7" t="str">
        <f t="shared" si="346"/>
        <v>无</v>
      </c>
      <c r="AF242" s="7" t="str">
        <f t="shared" si="346"/>
        <v>无</v>
      </c>
      <c r="AG242" s="7" t="str">
        <f t="shared" si="346"/>
        <v>无</v>
      </c>
      <c r="AH242" s="7" t="str">
        <f t="shared" si="346"/>
        <v>无</v>
      </c>
      <c r="AI242" s="15">
        <v>1</v>
      </c>
      <c r="AJ242" s="15">
        <v>2</v>
      </c>
      <c r="AK242" s="15">
        <v>3</v>
      </c>
      <c r="AL242" s="15">
        <v>4</v>
      </c>
      <c r="AM242" s="15">
        <v>5</v>
      </c>
      <c r="AN242" s="15">
        <v>6</v>
      </c>
      <c r="AO242" s="15">
        <v>7</v>
      </c>
      <c r="AP242" s="15"/>
    </row>
    <row r="243" s="7" customFormat="1" spans="1:42">
      <c r="A243" s="15">
        <v>163013</v>
      </c>
      <c r="B243" s="15" t="s">
        <v>523</v>
      </c>
      <c r="C243" s="15" t="s">
        <v>523</v>
      </c>
      <c r="D243" s="16" t="s">
        <v>83</v>
      </c>
      <c r="E243" s="7">
        <v>2515</v>
      </c>
      <c r="F243" s="7">
        <v>-1</v>
      </c>
      <c r="G243" s="7">
        <v>0</v>
      </c>
      <c r="H243" s="7">
        <v>0</v>
      </c>
      <c r="I243" s="15" t="s">
        <v>43</v>
      </c>
      <c r="J243" s="7">
        <v>-1</v>
      </c>
      <c r="K243" s="7">
        <v>0</v>
      </c>
      <c r="L243" s="7">
        <v>0</v>
      </c>
      <c r="N243" s="24">
        <v>1</v>
      </c>
      <c r="O243" s="7">
        <v>1</v>
      </c>
      <c r="Q243" s="7" t="s">
        <v>149</v>
      </c>
      <c r="R243" s="7" t="s">
        <v>149</v>
      </c>
      <c r="S243" s="15">
        <v>10</v>
      </c>
      <c r="T243" s="7" t="str">
        <f t="shared" si="344"/>
        <v>妙手</v>
      </c>
      <c r="U243" s="7" t="str">
        <f t="shared" ref="U243:Z243" si="347">T243</f>
        <v>妙手</v>
      </c>
      <c r="V243" s="7" t="str">
        <f t="shared" si="347"/>
        <v>妙手</v>
      </c>
      <c r="W243" s="7" t="str">
        <f t="shared" si="347"/>
        <v>妙手</v>
      </c>
      <c r="X243" s="7" t="str">
        <f t="shared" si="347"/>
        <v>妙手</v>
      </c>
      <c r="Y243" s="7" t="str">
        <f t="shared" si="347"/>
        <v>妙手</v>
      </c>
      <c r="Z243" s="7" t="str">
        <f t="shared" si="347"/>
        <v>妙手</v>
      </c>
      <c r="AA243" s="7" t="s">
        <v>81</v>
      </c>
      <c r="AB243" s="7" t="str">
        <f t="shared" ref="AB243:AH243" si="348">AA243</f>
        <v>无</v>
      </c>
      <c r="AC243" s="7" t="str">
        <f t="shared" si="348"/>
        <v>无</v>
      </c>
      <c r="AD243" s="7" t="str">
        <f t="shared" si="348"/>
        <v>无</v>
      </c>
      <c r="AE243" s="7" t="str">
        <f t="shared" si="348"/>
        <v>无</v>
      </c>
      <c r="AF243" s="7" t="str">
        <f t="shared" si="348"/>
        <v>无</v>
      </c>
      <c r="AG243" s="7" t="str">
        <f t="shared" si="348"/>
        <v>无</v>
      </c>
      <c r="AH243" s="7" t="str">
        <f t="shared" si="348"/>
        <v>无</v>
      </c>
      <c r="AI243" s="15">
        <v>1</v>
      </c>
      <c r="AJ243" s="15">
        <v>2</v>
      </c>
      <c r="AK243" s="15">
        <v>3</v>
      </c>
      <c r="AL243" s="15">
        <v>4</v>
      </c>
      <c r="AM243" s="15">
        <v>5</v>
      </c>
      <c r="AN243" s="15">
        <v>6</v>
      </c>
      <c r="AO243" s="15">
        <v>7</v>
      </c>
      <c r="AP243" s="15"/>
    </row>
    <row r="244" s="7" customFormat="1" spans="1:42">
      <c r="A244" s="15">
        <v>163014</v>
      </c>
      <c r="B244" s="15" t="s">
        <v>524</v>
      </c>
      <c r="C244" s="15" t="s">
        <v>524</v>
      </c>
      <c r="D244" s="17" t="s">
        <v>85</v>
      </c>
      <c r="E244" s="7">
        <v>2516</v>
      </c>
      <c r="F244" s="7">
        <v>-1</v>
      </c>
      <c r="G244" s="7">
        <v>0</v>
      </c>
      <c r="H244" s="7">
        <v>0</v>
      </c>
      <c r="I244" s="15" t="s">
        <v>43</v>
      </c>
      <c r="J244" s="7">
        <v>-1</v>
      </c>
      <c r="K244" s="7">
        <v>0</v>
      </c>
      <c r="L244" s="7">
        <v>0</v>
      </c>
      <c r="N244" s="24">
        <v>1</v>
      </c>
      <c r="O244" s="7">
        <v>1</v>
      </c>
      <c r="Q244" s="7" t="s">
        <v>149</v>
      </c>
      <c r="R244" s="7" t="s">
        <v>149</v>
      </c>
      <c r="S244" s="15">
        <v>11</v>
      </c>
      <c r="T244" s="7" t="str">
        <f t="shared" si="344"/>
        <v>佛显</v>
      </c>
      <c r="U244" s="7" t="str">
        <f t="shared" ref="U244:Z244" si="349">T244</f>
        <v>佛显</v>
      </c>
      <c r="V244" s="7" t="str">
        <f t="shared" si="349"/>
        <v>佛显</v>
      </c>
      <c r="W244" s="7" t="str">
        <f t="shared" si="349"/>
        <v>佛显</v>
      </c>
      <c r="X244" s="7" t="str">
        <f t="shared" si="349"/>
        <v>佛显</v>
      </c>
      <c r="Y244" s="7" t="str">
        <f t="shared" si="349"/>
        <v>佛显</v>
      </c>
      <c r="Z244" s="7" t="str">
        <f t="shared" si="349"/>
        <v>佛显</v>
      </c>
      <c r="AA244" s="7" t="s">
        <v>81</v>
      </c>
      <c r="AB244" s="7" t="str">
        <f t="shared" ref="AB244:AH244" si="350">AA244</f>
        <v>无</v>
      </c>
      <c r="AC244" s="7" t="str">
        <f t="shared" si="350"/>
        <v>无</v>
      </c>
      <c r="AD244" s="7" t="str">
        <f t="shared" si="350"/>
        <v>无</v>
      </c>
      <c r="AE244" s="7" t="str">
        <f t="shared" si="350"/>
        <v>无</v>
      </c>
      <c r="AF244" s="7" t="str">
        <f t="shared" si="350"/>
        <v>无</v>
      </c>
      <c r="AG244" s="7" t="str">
        <f t="shared" si="350"/>
        <v>无</v>
      </c>
      <c r="AH244" s="7" t="str">
        <f t="shared" si="350"/>
        <v>无</v>
      </c>
      <c r="AI244" s="15">
        <v>1</v>
      </c>
      <c r="AJ244" s="15">
        <v>2</v>
      </c>
      <c r="AK244" s="15">
        <v>3</v>
      </c>
      <c r="AL244" s="15">
        <v>4</v>
      </c>
      <c r="AM244" s="15">
        <v>5</v>
      </c>
      <c r="AN244" s="15">
        <v>6</v>
      </c>
      <c r="AO244" s="15">
        <v>7</v>
      </c>
      <c r="AP244" s="15"/>
    </row>
    <row r="245" s="7" customFormat="1" spans="1:42">
      <c r="A245" s="15">
        <v>163015</v>
      </c>
      <c r="B245" s="15" t="s">
        <v>525</v>
      </c>
      <c r="C245" s="15" t="s">
        <v>525</v>
      </c>
      <c r="D245" s="18" t="s">
        <v>87</v>
      </c>
      <c r="E245" s="7">
        <v>2517</v>
      </c>
      <c r="F245" s="7">
        <v>-1</v>
      </c>
      <c r="G245" s="7">
        <v>0</v>
      </c>
      <c r="H245" s="7">
        <v>0</v>
      </c>
      <c r="I245" s="15" t="s">
        <v>43</v>
      </c>
      <c r="J245" s="7">
        <v>-1</v>
      </c>
      <c r="K245" s="7">
        <v>0</v>
      </c>
      <c r="L245" s="7">
        <v>0</v>
      </c>
      <c r="N245" s="24">
        <v>1</v>
      </c>
      <c r="O245" s="7">
        <v>1</v>
      </c>
      <c r="Q245" s="7" t="s">
        <v>149</v>
      </c>
      <c r="R245" s="7" t="s">
        <v>149</v>
      </c>
      <c r="S245" s="15">
        <v>12</v>
      </c>
      <c r="T245" s="7" t="str">
        <f t="shared" si="344"/>
        <v>天照</v>
      </c>
      <c r="U245" s="7" t="str">
        <f t="shared" ref="U245:Z245" si="351">T245</f>
        <v>天照</v>
      </c>
      <c r="V245" s="7" t="str">
        <f t="shared" si="351"/>
        <v>天照</v>
      </c>
      <c r="W245" s="7" t="str">
        <f t="shared" si="351"/>
        <v>天照</v>
      </c>
      <c r="X245" s="7" t="str">
        <f t="shared" si="351"/>
        <v>天照</v>
      </c>
      <c r="Y245" s="7" t="str">
        <f t="shared" si="351"/>
        <v>天照</v>
      </c>
      <c r="Z245" s="7" t="str">
        <f t="shared" si="351"/>
        <v>天照</v>
      </c>
      <c r="AA245" s="7" t="s">
        <v>81</v>
      </c>
      <c r="AB245" s="7" t="str">
        <f t="shared" ref="AB245:AH245" si="352">AA245</f>
        <v>无</v>
      </c>
      <c r="AC245" s="7" t="str">
        <f t="shared" si="352"/>
        <v>无</v>
      </c>
      <c r="AD245" s="7" t="str">
        <f t="shared" si="352"/>
        <v>无</v>
      </c>
      <c r="AE245" s="7" t="str">
        <f t="shared" si="352"/>
        <v>无</v>
      </c>
      <c r="AF245" s="7" t="str">
        <f t="shared" si="352"/>
        <v>无</v>
      </c>
      <c r="AG245" s="7" t="str">
        <f t="shared" si="352"/>
        <v>无</v>
      </c>
      <c r="AH245" s="7" t="str">
        <f t="shared" si="352"/>
        <v>无</v>
      </c>
      <c r="AI245" s="15">
        <v>1</v>
      </c>
      <c r="AJ245" s="15">
        <v>2</v>
      </c>
      <c r="AK245" s="15">
        <v>3</v>
      </c>
      <c r="AL245" s="15">
        <v>4</v>
      </c>
      <c r="AM245" s="15">
        <v>5</v>
      </c>
      <c r="AN245" s="15">
        <v>6</v>
      </c>
      <c r="AO245" s="15">
        <v>7</v>
      </c>
      <c r="AP245" s="15"/>
    </row>
    <row r="246" s="7" customFormat="1" spans="1:42">
      <c r="A246" s="15">
        <v>163016</v>
      </c>
      <c r="B246" s="15" t="s">
        <v>526</v>
      </c>
      <c r="C246" s="15" t="s">
        <v>526</v>
      </c>
      <c r="D246" s="17" t="s">
        <v>89</v>
      </c>
      <c r="E246" s="7">
        <v>2518</v>
      </c>
      <c r="F246" s="7">
        <v>-1</v>
      </c>
      <c r="G246" s="7">
        <v>0</v>
      </c>
      <c r="H246" s="7">
        <v>0</v>
      </c>
      <c r="I246" s="15" t="s">
        <v>43</v>
      </c>
      <c r="J246" s="7">
        <v>-1</v>
      </c>
      <c r="K246" s="7">
        <v>0</v>
      </c>
      <c r="L246" s="7">
        <v>0</v>
      </c>
      <c r="N246" s="24">
        <v>1</v>
      </c>
      <c r="O246" s="7">
        <v>1</v>
      </c>
      <c r="Q246" s="7" t="s">
        <v>149</v>
      </c>
      <c r="R246" s="7" t="s">
        <v>149</v>
      </c>
      <c r="S246" s="15">
        <v>13</v>
      </c>
      <c r="T246" s="7" t="str">
        <f t="shared" si="344"/>
        <v>佛法</v>
      </c>
      <c r="U246" s="7" t="str">
        <f t="shared" ref="U246:Z246" si="353">T246</f>
        <v>佛法</v>
      </c>
      <c r="V246" s="7" t="str">
        <f t="shared" si="353"/>
        <v>佛法</v>
      </c>
      <c r="W246" s="7" t="str">
        <f t="shared" si="353"/>
        <v>佛法</v>
      </c>
      <c r="X246" s="7" t="str">
        <f t="shared" si="353"/>
        <v>佛法</v>
      </c>
      <c r="Y246" s="7" t="str">
        <f t="shared" si="353"/>
        <v>佛法</v>
      </c>
      <c r="Z246" s="7" t="str">
        <f t="shared" si="353"/>
        <v>佛法</v>
      </c>
      <c r="AA246" s="7" t="s">
        <v>81</v>
      </c>
      <c r="AB246" s="7" t="str">
        <f t="shared" ref="AB246:AH246" si="354">AA246</f>
        <v>无</v>
      </c>
      <c r="AC246" s="7" t="str">
        <f t="shared" si="354"/>
        <v>无</v>
      </c>
      <c r="AD246" s="7" t="str">
        <f t="shared" si="354"/>
        <v>无</v>
      </c>
      <c r="AE246" s="7" t="str">
        <f t="shared" si="354"/>
        <v>无</v>
      </c>
      <c r="AF246" s="7" t="str">
        <f t="shared" si="354"/>
        <v>无</v>
      </c>
      <c r="AG246" s="7" t="str">
        <f t="shared" si="354"/>
        <v>无</v>
      </c>
      <c r="AH246" s="7" t="str">
        <f t="shared" si="354"/>
        <v>无</v>
      </c>
      <c r="AI246" s="15">
        <v>1</v>
      </c>
      <c r="AJ246" s="15">
        <v>2</v>
      </c>
      <c r="AK246" s="15">
        <v>3</v>
      </c>
      <c r="AL246" s="15">
        <v>4</v>
      </c>
      <c r="AM246" s="15">
        <v>5</v>
      </c>
      <c r="AN246" s="15">
        <v>6</v>
      </c>
      <c r="AO246" s="15">
        <v>7</v>
      </c>
      <c r="AP246" s="15"/>
    </row>
    <row r="247" s="7" customFormat="1" spans="1:42">
      <c r="A247" s="15">
        <v>163017</v>
      </c>
      <c r="B247" s="15" t="s">
        <v>527</v>
      </c>
      <c r="C247" s="15" t="s">
        <v>527</v>
      </c>
      <c r="D247" s="17" t="s">
        <v>91</v>
      </c>
      <c r="E247" s="7">
        <v>2519</v>
      </c>
      <c r="F247" s="7">
        <v>-1</v>
      </c>
      <c r="G247" s="7">
        <v>0</v>
      </c>
      <c r="H247" s="7">
        <v>0</v>
      </c>
      <c r="I247" s="15" t="s">
        <v>43</v>
      </c>
      <c r="J247" s="7">
        <v>-1</v>
      </c>
      <c r="K247" s="7">
        <v>0</v>
      </c>
      <c r="L247" s="7">
        <v>0</v>
      </c>
      <c r="N247" s="24">
        <v>1</v>
      </c>
      <c r="O247" s="7">
        <v>1</v>
      </c>
      <c r="Q247" s="7" t="s">
        <v>149</v>
      </c>
      <c r="R247" s="7" t="s">
        <v>149</v>
      </c>
      <c r="S247" s="15">
        <v>14</v>
      </c>
      <c r="T247" s="7" t="str">
        <f t="shared" si="344"/>
        <v>慈心</v>
      </c>
      <c r="U247" s="7" t="str">
        <f t="shared" ref="U247:Z247" si="355">T247</f>
        <v>慈心</v>
      </c>
      <c r="V247" s="7" t="str">
        <f t="shared" si="355"/>
        <v>慈心</v>
      </c>
      <c r="W247" s="7" t="str">
        <f t="shared" si="355"/>
        <v>慈心</v>
      </c>
      <c r="X247" s="7" t="str">
        <f t="shared" si="355"/>
        <v>慈心</v>
      </c>
      <c r="Y247" s="7" t="str">
        <f t="shared" si="355"/>
        <v>慈心</v>
      </c>
      <c r="Z247" s="7" t="str">
        <f t="shared" si="355"/>
        <v>慈心</v>
      </c>
      <c r="AA247" s="7" t="s">
        <v>81</v>
      </c>
      <c r="AB247" s="7" t="str">
        <f t="shared" ref="AB247:AH247" si="356">AA247</f>
        <v>无</v>
      </c>
      <c r="AC247" s="7" t="str">
        <f t="shared" si="356"/>
        <v>无</v>
      </c>
      <c r="AD247" s="7" t="str">
        <f t="shared" si="356"/>
        <v>无</v>
      </c>
      <c r="AE247" s="7" t="str">
        <f t="shared" si="356"/>
        <v>无</v>
      </c>
      <c r="AF247" s="7" t="str">
        <f t="shared" si="356"/>
        <v>无</v>
      </c>
      <c r="AG247" s="7" t="str">
        <f t="shared" si="356"/>
        <v>无</v>
      </c>
      <c r="AH247" s="7" t="str">
        <f t="shared" si="356"/>
        <v>无</v>
      </c>
      <c r="AI247" s="15">
        <v>1</v>
      </c>
      <c r="AJ247" s="15">
        <v>2</v>
      </c>
      <c r="AK247" s="15">
        <v>3</v>
      </c>
      <c r="AL247" s="15">
        <v>4</v>
      </c>
      <c r="AM247" s="15">
        <v>5</v>
      </c>
      <c r="AN247" s="15">
        <v>6</v>
      </c>
      <c r="AO247" s="15">
        <v>7</v>
      </c>
      <c r="AP247" s="15"/>
    </row>
    <row r="248" s="7" customFormat="1" spans="1:42">
      <c r="A248" s="15">
        <v>163018</v>
      </c>
      <c r="B248" s="15" t="s">
        <v>92</v>
      </c>
      <c r="C248" s="15" t="s">
        <v>92</v>
      </c>
      <c r="D248" s="19" t="s">
        <v>93</v>
      </c>
      <c r="E248" s="7">
        <v>2379</v>
      </c>
      <c r="F248" s="7">
        <v>-1</v>
      </c>
      <c r="G248" s="7">
        <v>0</v>
      </c>
      <c r="H248" s="7">
        <v>0</v>
      </c>
      <c r="I248" s="15" t="s">
        <v>43</v>
      </c>
      <c r="J248" s="7">
        <v>-1</v>
      </c>
      <c r="K248" s="7">
        <v>0</v>
      </c>
      <c r="L248" s="7">
        <v>0</v>
      </c>
      <c r="N248" s="24">
        <v>1</v>
      </c>
      <c r="O248" s="7">
        <v>1</v>
      </c>
      <c r="Q248" s="7" t="s">
        <v>149</v>
      </c>
      <c r="R248" s="7" t="s">
        <v>149</v>
      </c>
      <c r="S248" s="15">
        <v>15</v>
      </c>
      <c r="T248" s="7" t="str">
        <f t="shared" si="344"/>
        <v>额外能力</v>
      </c>
      <c r="U248" s="7" t="str">
        <f t="shared" ref="U248:Z248" si="357">T248</f>
        <v>额外能力</v>
      </c>
      <c r="V248" s="7" t="str">
        <f t="shared" si="357"/>
        <v>额外能力</v>
      </c>
      <c r="W248" s="7" t="str">
        <f t="shared" si="357"/>
        <v>额外能力</v>
      </c>
      <c r="X248" s="7" t="str">
        <f t="shared" si="357"/>
        <v>额外能力</v>
      </c>
      <c r="Y248" s="7" t="str">
        <f t="shared" si="357"/>
        <v>额外能力</v>
      </c>
      <c r="Z248" s="7" t="str">
        <f t="shared" si="357"/>
        <v>额外能力</v>
      </c>
      <c r="AA248" s="7" t="s">
        <v>81</v>
      </c>
      <c r="AB248" s="7" t="str">
        <f t="shared" ref="AB248:AH248" si="358">AA248</f>
        <v>无</v>
      </c>
      <c r="AC248" s="7" t="str">
        <f t="shared" si="358"/>
        <v>无</v>
      </c>
      <c r="AD248" s="7" t="str">
        <f t="shared" si="358"/>
        <v>无</v>
      </c>
      <c r="AE248" s="7" t="str">
        <f t="shared" si="358"/>
        <v>无</v>
      </c>
      <c r="AF248" s="7" t="str">
        <f t="shared" si="358"/>
        <v>无</v>
      </c>
      <c r="AG248" s="7" t="str">
        <f t="shared" si="358"/>
        <v>无</v>
      </c>
      <c r="AH248" s="7" t="str">
        <f t="shared" si="358"/>
        <v>无</v>
      </c>
      <c r="AI248" s="15">
        <v>1</v>
      </c>
      <c r="AJ248" s="15">
        <v>2</v>
      </c>
      <c r="AK248" s="15">
        <v>3</v>
      </c>
      <c r="AL248" s="15">
        <v>4</v>
      </c>
      <c r="AM248" s="15">
        <v>5</v>
      </c>
      <c r="AN248" s="15">
        <v>6</v>
      </c>
      <c r="AO248" s="15">
        <v>7</v>
      </c>
      <c r="AP248" s="15"/>
    </row>
    <row r="249" s="7" customFormat="1" spans="1:42">
      <c r="A249" s="15">
        <v>163019</v>
      </c>
      <c r="B249" s="15" t="s">
        <v>528</v>
      </c>
      <c r="C249" s="15" t="s">
        <v>528</v>
      </c>
      <c r="D249" s="17" t="s">
        <v>95</v>
      </c>
      <c r="E249" s="7">
        <v>2520</v>
      </c>
      <c r="F249" s="7">
        <v>-1</v>
      </c>
      <c r="G249" s="7">
        <v>0</v>
      </c>
      <c r="H249" s="7">
        <v>0</v>
      </c>
      <c r="I249" s="15" t="s">
        <v>43</v>
      </c>
      <c r="J249" s="7">
        <v>-1</v>
      </c>
      <c r="K249" s="7">
        <v>0</v>
      </c>
      <c r="L249" s="7">
        <v>0</v>
      </c>
      <c r="N249" s="24">
        <v>1</v>
      </c>
      <c r="O249" s="7">
        <v>1</v>
      </c>
      <c r="Q249" s="7" t="s">
        <v>149</v>
      </c>
      <c r="R249" s="7" t="s">
        <v>149</v>
      </c>
      <c r="S249" s="15">
        <v>16</v>
      </c>
      <c r="T249" s="7" t="str">
        <f t="shared" si="344"/>
        <v>止戈</v>
      </c>
      <c r="U249" s="7" t="str">
        <f t="shared" ref="U249:Z249" si="359">T249</f>
        <v>止戈</v>
      </c>
      <c r="V249" s="7" t="str">
        <f t="shared" si="359"/>
        <v>止戈</v>
      </c>
      <c r="W249" s="7" t="str">
        <f t="shared" si="359"/>
        <v>止戈</v>
      </c>
      <c r="X249" s="7" t="str">
        <f t="shared" si="359"/>
        <v>止戈</v>
      </c>
      <c r="Y249" s="7" t="str">
        <f t="shared" si="359"/>
        <v>止戈</v>
      </c>
      <c r="Z249" s="7" t="str">
        <f t="shared" si="359"/>
        <v>止戈</v>
      </c>
      <c r="AA249" s="7" t="s">
        <v>81</v>
      </c>
      <c r="AB249" s="7" t="str">
        <f t="shared" ref="AB249:AH249" si="360">AA249</f>
        <v>无</v>
      </c>
      <c r="AC249" s="7" t="str">
        <f t="shared" si="360"/>
        <v>无</v>
      </c>
      <c r="AD249" s="7" t="str">
        <f t="shared" si="360"/>
        <v>无</v>
      </c>
      <c r="AE249" s="7" t="str">
        <f t="shared" si="360"/>
        <v>无</v>
      </c>
      <c r="AF249" s="7" t="str">
        <f t="shared" si="360"/>
        <v>无</v>
      </c>
      <c r="AG249" s="7" t="str">
        <f t="shared" si="360"/>
        <v>无</v>
      </c>
      <c r="AH249" s="7" t="str">
        <f t="shared" si="360"/>
        <v>无</v>
      </c>
      <c r="AI249" s="15">
        <v>1</v>
      </c>
      <c r="AJ249" s="15">
        <v>2</v>
      </c>
      <c r="AK249" s="15">
        <v>3</v>
      </c>
      <c r="AL249" s="15">
        <v>4</v>
      </c>
      <c r="AM249" s="15">
        <v>5</v>
      </c>
      <c r="AN249" s="15">
        <v>6</v>
      </c>
      <c r="AO249" s="15">
        <v>7</v>
      </c>
      <c r="AP249" s="15"/>
    </row>
    <row r="250" s="7" customFormat="1" spans="1:42">
      <c r="A250" s="15">
        <v>163020</v>
      </c>
      <c r="B250" s="15" t="s">
        <v>529</v>
      </c>
      <c r="C250" s="15" t="s">
        <v>529</v>
      </c>
      <c r="D250" s="16" t="s">
        <v>97</v>
      </c>
      <c r="E250" s="7">
        <v>2521</v>
      </c>
      <c r="F250" s="7">
        <v>-1</v>
      </c>
      <c r="G250" s="7">
        <v>0</v>
      </c>
      <c r="H250" s="7">
        <v>0</v>
      </c>
      <c r="I250" s="15" t="s">
        <v>43</v>
      </c>
      <c r="J250" s="7">
        <v>-1</v>
      </c>
      <c r="K250" s="7">
        <v>0</v>
      </c>
      <c r="L250" s="7">
        <v>0</v>
      </c>
      <c r="N250" s="24">
        <v>1</v>
      </c>
      <c r="O250" s="7">
        <v>1</v>
      </c>
      <c r="Q250" s="7" t="s">
        <v>149</v>
      </c>
      <c r="R250" s="7" t="s">
        <v>149</v>
      </c>
      <c r="S250" s="15">
        <v>17</v>
      </c>
      <c r="T250" s="7" t="str">
        <f t="shared" si="344"/>
        <v>仁心</v>
      </c>
      <c r="U250" s="7" t="str">
        <f t="shared" ref="U250:Z250" si="361">T250</f>
        <v>仁心</v>
      </c>
      <c r="V250" s="7" t="str">
        <f t="shared" si="361"/>
        <v>仁心</v>
      </c>
      <c r="W250" s="7" t="str">
        <f t="shared" si="361"/>
        <v>仁心</v>
      </c>
      <c r="X250" s="7" t="str">
        <f t="shared" si="361"/>
        <v>仁心</v>
      </c>
      <c r="Y250" s="7" t="str">
        <f t="shared" si="361"/>
        <v>仁心</v>
      </c>
      <c r="Z250" s="7" t="str">
        <f t="shared" si="361"/>
        <v>仁心</v>
      </c>
      <c r="AA250" s="7" t="s">
        <v>81</v>
      </c>
      <c r="AB250" s="7" t="str">
        <f t="shared" ref="AB250:AH250" si="362">AA250</f>
        <v>无</v>
      </c>
      <c r="AC250" s="7" t="str">
        <f t="shared" si="362"/>
        <v>无</v>
      </c>
      <c r="AD250" s="7" t="str">
        <f t="shared" si="362"/>
        <v>无</v>
      </c>
      <c r="AE250" s="7" t="str">
        <f t="shared" si="362"/>
        <v>无</v>
      </c>
      <c r="AF250" s="7" t="str">
        <f t="shared" si="362"/>
        <v>无</v>
      </c>
      <c r="AG250" s="7" t="str">
        <f t="shared" si="362"/>
        <v>无</v>
      </c>
      <c r="AH250" s="7" t="str">
        <f t="shared" si="362"/>
        <v>无</v>
      </c>
      <c r="AI250" s="15">
        <v>1</v>
      </c>
      <c r="AJ250" s="15">
        <v>2</v>
      </c>
      <c r="AK250" s="15">
        <v>3</v>
      </c>
      <c r="AL250" s="15">
        <v>4</v>
      </c>
      <c r="AM250" s="15">
        <v>5</v>
      </c>
      <c r="AN250" s="15">
        <v>6</v>
      </c>
      <c r="AO250" s="15">
        <v>7</v>
      </c>
      <c r="AP250" s="15"/>
    </row>
    <row r="251" s="7" customFormat="1" spans="1:42">
      <c r="A251" s="15">
        <v>163021</v>
      </c>
      <c r="B251" s="15" t="s">
        <v>530</v>
      </c>
      <c r="C251" s="15" t="s">
        <v>530</v>
      </c>
      <c r="D251" s="17" t="s">
        <v>91</v>
      </c>
      <c r="E251" s="7">
        <v>2522</v>
      </c>
      <c r="F251" s="7">
        <v>-1</v>
      </c>
      <c r="G251" s="7">
        <v>0</v>
      </c>
      <c r="H251" s="7">
        <v>0</v>
      </c>
      <c r="I251" s="15" t="s">
        <v>43</v>
      </c>
      <c r="J251" s="7">
        <v>-1</v>
      </c>
      <c r="K251" s="7">
        <v>0</v>
      </c>
      <c r="L251" s="7">
        <v>0</v>
      </c>
      <c r="N251" s="24">
        <v>1</v>
      </c>
      <c r="O251" s="7">
        <v>1</v>
      </c>
      <c r="Q251" s="7" t="s">
        <v>149</v>
      </c>
      <c r="R251" s="7" t="s">
        <v>149</v>
      </c>
      <c r="S251" s="15">
        <v>18</v>
      </c>
      <c r="T251" s="7" t="str">
        <f t="shared" si="344"/>
        <v>心韧</v>
      </c>
      <c r="U251" s="7" t="str">
        <f t="shared" ref="U251:Z251" si="363">T251</f>
        <v>心韧</v>
      </c>
      <c r="V251" s="7" t="str">
        <f t="shared" si="363"/>
        <v>心韧</v>
      </c>
      <c r="W251" s="7" t="str">
        <f t="shared" si="363"/>
        <v>心韧</v>
      </c>
      <c r="X251" s="7" t="str">
        <f t="shared" si="363"/>
        <v>心韧</v>
      </c>
      <c r="Y251" s="7" t="str">
        <f t="shared" si="363"/>
        <v>心韧</v>
      </c>
      <c r="Z251" s="7" t="str">
        <f t="shared" si="363"/>
        <v>心韧</v>
      </c>
      <c r="AA251" s="7" t="s">
        <v>81</v>
      </c>
      <c r="AB251" s="7" t="str">
        <f t="shared" ref="AB251:AH251" si="364">AA251</f>
        <v>无</v>
      </c>
      <c r="AC251" s="7" t="str">
        <f t="shared" si="364"/>
        <v>无</v>
      </c>
      <c r="AD251" s="7" t="str">
        <f t="shared" si="364"/>
        <v>无</v>
      </c>
      <c r="AE251" s="7" t="str">
        <f t="shared" si="364"/>
        <v>无</v>
      </c>
      <c r="AF251" s="7" t="str">
        <f t="shared" si="364"/>
        <v>无</v>
      </c>
      <c r="AG251" s="7" t="str">
        <f t="shared" si="364"/>
        <v>无</v>
      </c>
      <c r="AH251" s="7" t="str">
        <f t="shared" si="364"/>
        <v>无</v>
      </c>
      <c r="AI251" s="15">
        <v>1</v>
      </c>
      <c r="AJ251" s="15">
        <v>2</v>
      </c>
      <c r="AK251" s="15">
        <v>3</v>
      </c>
      <c r="AL251" s="15">
        <v>4</v>
      </c>
      <c r="AM251" s="15">
        <v>5</v>
      </c>
      <c r="AN251" s="15">
        <v>6</v>
      </c>
      <c r="AO251" s="15">
        <v>7</v>
      </c>
      <c r="AP251" s="15"/>
    </row>
    <row r="252" s="7" customFormat="1" spans="1:42">
      <c r="A252" s="15">
        <v>163022</v>
      </c>
      <c r="B252" s="15" t="s">
        <v>531</v>
      </c>
      <c r="C252" s="15" t="s">
        <v>531</v>
      </c>
      <c r="D252" s="17" t="s">
        <v>100</v>
      </c>
      <c r="E252" s="7">
        <v>2523</v>
      </c>
      <c r="F252" s="7">
        <v>-1</v>
      </c>
      <c r="G252" s="7">
        <v>0</v>
      </c>
      <c r="H252" s="7">
        <v>0</v>
      </c>
      <c r="I252" s="15" t="s">
        <v>43</v>
      </c>
      <c r="J252" s="7">
        <v>-1</v>
      </c>
      <c r="K252" s="7">
        <v>0</v>
      </c>
      <c r="L252" s="7">
        <v>0</v>
      </c>
      <c r="N252" s="24">
        <v>1</v>
      </c>
      <c r="O252" s="7">
        <v>1</v>
      </c>
      <c r="Q252" s="7" t="s">
        <v>149</v>
      </c>
      <c r="R252" s="7" t="s">
        <v>149</v>
      </c>
      <c r="S252" s="15">
        <v>19</v>
      </c>
      <c r="T252" s="7" t="str">
        <f t="shared" si="344"/>
        <v>舍利</v>
      </c>
      <c r="U252" s="7" t="str">
        <f t="shared" ref="U252:Z252" si="365">T252</f>
        <v>舍利</v>
      </c>
      <c r="V252" s="7" t="str">
        <f t="shared" si="365"/>
        <v>舍利</v>
      </c>
      <c r="W252" s="7" t="str">
        <f t="shared" si="365"/>
        <v>舍利</v>
      </c>
      <c r="X252" s="7" t="str">
        <f t="shared" si="365"/>
        <v>舍利</v>
      </c>
      <c r="Y252" s="7" t="str">
        <f t="shared" si="365"/>
        <v>舍利</v>
      </c>
      <c r="Z252" s="7" t="str">
        <f t="shared" si="365"/>
        <v>舍利</v>
      </c>
      <c r="AA252" s="7" t="s">
        <v>81</v>
      </c>
      <c r="AB252" s="7" t="str">
        <f t="shared" ref="AB252:AH252" si="366">AA252</f>
        <v>无</v>
      </c>
      <c r="AC252" s="7" t="str">
        <f t="shared" si="366"/>
        <v>无</v>
      </c>
      <c r="AD252" s="7" t="str">
        <f t="shared" si="366"/>
        <v>无</v>
      </c>
      <c r="AE252" s="7" t="str">
        <f t="shared" si="366"/>
        <v>无</v>
      </c>
      <c r="AF252" s="7" t="str">
        <f t="shared" si="366"/>
        <v>无</v>
      </c>
      <c r="AG252" s="7" t="str">
        <f t="shared" si="366"/>
        <v>无</v>
      </c>
      <c r="AH252" s="7" t="str">
        <f t="shared" si="366"/>
        <v>无</v>
      </c>
      <c r="AI252" s="15">
        <v>1</v>
      </c>
      <c r="AJ252" s="15">
        <v>2</v>
      </c>
      <c r="AK252" s="15">
        <v>3</v>
      </c>
      <c r="AL252" s="15">
        <v>4</v>
      </c>
      <c r="AM252" s="15">
        <v>5</v>
      </c>
      <c r="AN252" s="15">
        <v>6</v>
      </c>
      <c r="AO252" s="15">
        <v>7</v>
      </c>
      <c r="AP252" s="15"/>
    </row>
    <row r="253" s="7" customFormat="1" spans="1:42">
      <c r="A253" s="15">
        <v>163023</v>
      </c>
      <c r="B253" s="15" t="s">
        <v>532</v>
      </c>
      <c r="C253" s="15" t="s">
        <v>532</v>
      </c>
      <c r="D253" s="17" t="s">
        <v>91</v>
      </c>
      <c r="E253" s="7">
        <v>2524</v>
      </c>
      <c r="F253" s="7">
        <v>-1</v>
      </c>
      <c r="G253" s="7">
        <v>0</v>
      </c>
      <c r="H253" s="7">
        <v>0</v>
      </c>
      <c r="I253" s="15" t="s">
        <v>43</v>
      </c>
      <c r="J253" s="7">
        <v>-1</v>
      </c>
      <c r="K253" s="7">
        <v>0</v>
      </c>
      <c r="L253" s="7">
        <v>0</v>
      </c>
      <c r="N253" s="24">
        <v>1</v>
      </c>
      <c r="O253" s="7">
        <v>1</v>
      </c>
      <c r="Q253" s="7" t="s">
        <v>149</v>
      </c>
      <c r="R253" s="7" t="s">
        <v>149</v>
      </c>
      <c r="S253" s="15">
        <v>20</v>
      </c>
      <c r="T253" s="7" t="str">
        <f t="shared" si="344"/>
        <v>佛性</v>
      </c>
      <c r="U253" s="7" t="str">
        <f t="shared" ref="U253:Z253" si="367">T253</f>
        <v>佛性</v>
      </c>
      <c r="V253" s="7" t="str">
        <f t="shared" si="367"/>
        <v>佛性</v>
      </c>
      <c r="W253" s="7" t="str">
        <f t="shared" si="367"/>
        <v>佛性</v>
      </c>
      <c r="X253" s="7" t="str">
        <f t="shared" si="367"/>
        <v>佛性</v>
      </c>
      <c r="Y253" s="7" t="str">
        <f t="shared" si="367"/>
        <v>佛性</v>
      </c>
      <c r="Z253" s="7" t="str">
        <f t="shared" si="367"/>
        <v>佛性</v>
      </c>
      <c r="AA253" s="7" t="s">
        <v>81</v>
      </c>
      <c r="AB253" s="7" t="str">
        <f t="shared" ref="AB253:AH253" si="368">AA253</f>
        <v>无</v>
      </c>
      <c r="AC253" s="7" t="str">
        <f t="shared" si="368"/>
        <v>无</v>
      </c>
      <c r="AD253" s="7" t="str">
        <f t="shared" si="368"/>
        <v>无</v>
      </c>
      <c r="AE253" s="7" t="str">
        <f t="shared" si="368"/>
        <v>无</v>
      </c>
      <c r="AF253" s="7" t="str">
        <f t="shared" si="368"/>
        <v>无</v>
      </c>
      <c r="AG253" s="7" t="str">
        <f t="shared" si="368"/>
        <v>无</v>
      </c>
      <c r="AH253" s="7" t="str">
        <f t="shared" si="368"/>
        <v>无</v>
      </c>
      <c r="AI253" s="15">
        <v>1</v>
      </c>
      <c r="AJ253" s="15">
        <v>2</v>
      </c>
      <c r="AK253" s="15">
        <v>3</v>
      </c>
      <c r="AL253" s="15">
        <v>4</v>
      </c>
      <c r="AM253" s="15">
        <v>5</v>
      </c>
      <c r="AN253" s="15">
        <v>6</v>
      </c>
      <c r="AO253" s="15">
        <v>7</v>
      </c>
      <c r="AP253" s="15"/>
    </row>
    <row r="254" s="7" customFormat="1" spans="1:42">
      <c r="A254" s="15">
        <v>163024</v>
      </c>
      <c r="B254" s="15" t="s">
        <v>533</v>
      </c>
      <c r="C254" s="15" t="s">
        <v>533</v>
      </c>
      <c r="D254" s="17" t="s">
        <v>103</v>
      </c>
      <c r="E254" s="7">
        <v>2525</v>
      </c>
      <c r="F254" s="7">
        <v>-1</v>
      </c>
      <c r="G254" s="7">
        <v>0</v>
      </c>
      <c r="H254" s="7">
        <v>0</v>
      </c>
      <c r="I254" s="15" t="s">
        <v>43</v>
      </c>
      <c r="J254" s="7">
        <v>-1</v>
      </c>
      <c r="K254" s="7">
        <v>0</v>
      </c>
      <c r="L254" s="7">
        <v>0</v>
      </c>
      <c r="N254" s="24">
        <v>1</v>
      </c>
      <c r="O254" s="7">
        <v>1</v>
      </c>
      <c r="Q254" s="7" t="s">
        <v>149</v>
      </c>
      <c r="R254" s="7" t="s">
        <v>149</v>
      </c>
      <c r="S254" s="15">
        <v>21</v>
      </c>
      <c r="T254" s="7" t="str">
        <f t="shared" si="344"/>
        <v>虔诚</v>
      </c>
      <c r="U254" s="7" t="str">
        <f t="shared" ref="U254:Z254" si="369">T254</f>
        <v>虔诚</v>
      </c>
      <c r="V254" s="7" t="str">
        <f t="shared" si="369"/>
        <v>虔诚</v>
      </c>
      <c r="W254" s="7" t="str">
        <f t="shared" si="369"/>
        <v>虔诚</v>
      </c>
      <c r="X254" s="7" t="str">
        <f t="shared" si="369"/>
        <v>虔诚</v>
      </c>
      <c r="Y254" s="7" t="str">
        <f t="shared" si="369"/>
        <v>虔诚</v>
      </c>
      <c r="Z254" s="7" t="str">
        <f t="shared" si="369"/>
        <v>虔诚</v>
      </c>
      <c r="AA254" s="7" t="s">
        <v>81</v>
      </c>
      <c r="AB254" s="7" t="str">
        <f t="shared" ref="AB254:AH254" si="370">AA254</f>
        <v>无</v>
      </c>
      <c r="AC254" s="7" t="str">
        <f t="shared" si="370"/>
        <v>无</v>
      </c>
      <c r="AD254" s="7" t="str">
        <f t="shared" si="370"/>
        <v>无</v>
      </c>
      <c r="AE254" s="7" t="str">
        <f t="shared" si="370"/>
        <v>无</v>
      </c>
      <c r="AF254" s="7" t="str">
        <f t="shared" si="370"/>
        <v>无</v>
      </c>
      <c r="AG254" s="7" t="str">
        <f t="shared" si="370"/>
        <v>无</v>
      </c>
      <c r="AH254" s="7" t="str">
        <f t="shared" si="370"/>
        <v>无</v>
      </c>
      <c r="AI254" s="15">
        <v>1</v>
      </c>
      <c r="AJ254" s="15">
        <v>2</v>
      </c>
      <c r="AK254" s="15">
        <v>3</v>
      </c>
      <c r="AL254" s="15">
        <v>4</v>
      </c>
      <c r="AM254" s="15">
        <v>5</v>
      </c>
      <c r="AN254" s="15">
        <v>6</v>
      </c>
      <c r="AO254" s="15">
        <v>7</v>
      </c>
      <c r="AP254" s="15"/>
    </row>
    <row r="255" s="7" customFormat="1" spans="1:42">
      <c r="A255" s="15">
        <v>163025</v>
      </c>
      <c r="B255" s="15" t="s">
        <v>534</v>
      </c>
      <c r="C255" s="15" t="s">
        <v>534</v>
      </c>
      <c r="D255" s="17" t="s">
        <v>105</v>
      </c>
      <c r="E255" s="7">
        <v>2526</v>
      </c>
      <c r="F255" s="7">
        <v>-1</v>
      </c>
      <c r="G255" s="7">
        <v>0</v>
      </c>
      <c r="H255" s="7">
        <v>0</v>
      </c>
      <c r="I255" s="15" t="s">
        <v>535</v>
      </c>
      <c r="J255" s="7">
        <v>-1</v>
      </c>
      <c r="K255" s="7">
        <v>0</v>
      </c>
      <c r="L255" s="7">
        <v>0</v>
      </c>
      <c r="N255" s="24">
        <v>1</v>
      </c>
      <c r="O255" s="7">
        <v>1</v>
      </c>
      <c r="Q255" s="7" t="s">
        <v>149</v>
      </c>
      <c r="R255" s="7" t="s">
        <v>149</v>
      </c>
      <c r="S255" s="15">
        <v>22</v>
      </c>
      <c r="T255" s="7" t="str">
        <f t="shared" si="344"/>
        <v>渡劫金身</v>
      </c>
      <c r="U255" s="7" t="str">
        <f t="shared" ref="U255:Z255" si="371">T255</f>
        <v>渡劫金身</v>
      </c>
      <c r="V255" s="7" t="str">
        <f t="shared" si="371"/>
        <v>渡劫金身</v>
      </c>
      <c r="W255" s="7" t="str">
        <f t="shared" si="371"/>
        <v>渡劫金身</v>
      </c>
      <c r="X255" s="7" t="str">
        <f t="shared" si="371"/>
        <v>渡劫金身</v>
      </c>
      <c r="Y255" s="7" t="str">
        <f t="shared" si="371"/>
        <v>渡劫金身</v>
      </c>
      <c r="Z255" s="7" t="str">
        <f t="shared" si="371"/>
        <v>渡劫金身</v>
      </c>
      <c r="AA255" s="7" t="s">
        <v>536</v>
      </c>
      <c r="AB255" s="7" t="str">
        <f t="shared" ref="AB255:AH255" si="372">AA255</f>
        <v>【冷却】4回合(该技能为法术技能，受封印法术限制)</v>
      </c>
      <c r="AC255" s="7" t="str">
        <f t="shared" si="372"/>
        <v>【冷却】4回合(该技能为法术技能，受封印法术限制)</v>
      </c>
      <c r="AD255" s="7" t="str">
        <f t="shared" si="372"/>
        <v>【冷却】4回合(该技能为法术技能，受封印法术限制)</v>
      </c>
      <c r="AE255" s="7" t="str">
        <f t="shared" si="372"/>
        <v>【冷却】4回合(该技能为法术技能，受封印法术限制)</v>
      </c>
      <c r="AF255" s="7" t="str">
        <f t="shared" si="372"/>
        <v>【冷却】4回合(该技能为法术技能，受封印法术限制)</v>
      </c>
      <c r="AG255" s="7" t="str">
        <f t="shared" si="372"/>
        <v>【冷却】4回合(该技能为法术技能，受封印法术限制)</v>
      </c>
      <c r="AH255" s="7" t="str">
        <f t="shared" si="372"/>
        <v>【冷却】4回合(该技能为法术技能，受封印法术限制)</v>
      </c>
      <c r="AI255" s="15">
        <v>1</v>
      </c>
      <c r="AJ255" s="15">
        <v>2</v>
      </c>
      <c r="AK255" s="15">
        <v>3</v>
      </c>
      <c r="AL255" s="15">
        <v>4</v>
      </c>
      <c r="AM255" s="15">
        <v>5</v>
      </c>
      <c r="AN255" s="15">
        <v>6</v>
      </c>
      <c r="AO255" s="15">
        <v>7</v>
      </c>
      <c r="AP255" s="15"/>
    </row>
    <row r="256" s="7" customFormat="1" spans="1:42">
      <c r="A256" s="15">
        <v>163026</v>
      </c>
      <c r="B256" s="15" t="s">
        <v>537</v>
      </c>
      <c r="C256" s="15" t="s">
        <v>537</v>
      </c>
      <c r="D256" s="16" t="s">
        <v>83</v>
      </c>
      <c r="E256" s="7">
        <v>2527</v>
      </c>
      <c r="F256" s="7">
        <v>-1</v>
      </c>
      <c r="G256" s="7">
        <v>0</v>
      </c>
      <c r="H256" s="7">
        <v>0</v>
      </c>
      <c r="I256" s="15" t="s">
        <v>43</v>
      </c>
      <c r="J256" s="7">
        <v>-1</v>
      </c>
      <c r="K256" s="7">
        <v>0</v>
      </c>
      <c r="L256" s="7">
        <v>0</v>
      </c>
      <c r="N256" s="24">
        <v>1</v>
      </c>
      <c r="O256" s="7">
        <v>1</v>
      </c>
      <c r="Q256" s="7" t="s">
        <v>149</v>
      </c>
      <c r="R256" s="7" t="s">
        <v>149</v>
      </c>
      <c r="S256" s="15">
        <v>23</v>
      </c>
      <c r="T256" s="7" t="str">
        <f t="shared" si="344"/>
        <v>圣手</v>
      </c>
      <c r="U256" s="7" t="str">
        <f t="shared" ref="U256:Z256" si="373">T256</f>
        <v>圣手</v>
      </c>
      <c r="V256" s="7" t="str">
        <f t="shared" si="373"/>
        <v>圣手</v>
      </c>
      <c r="W256" s="7" t="str">
        <f t="shared" si="373"/>
        <v>圣手</v>
      </c>
      <c r="X256" s="7" t="str">
        <f t="shared" si="373"/>
        <v>圣手</v>
      </c>
      <c r="Y256" s="7" t="str">
        <f t="shared" si="373"/>
        <v>圣手</v>
      </c>
      <c r="Z256" s="7" t="str">
        <f t="shared" si="373"/>
        <v>圣手</v>
      </c>
      <c r="AA256" s="7" t="s">
        <v>81</v>
      </c>
      <c r="AB256" s="7" t="str">
        <f t="shared" ref="AB256:AH256" si="374">AA256</f>
        <v>无</v>
      </c>
      <c r="AC256" s="7" t="str">
        <f t="shared" si="374"/>
        <v>无</v>
      </c>
      <c r="AD256" s="7" t="str">
        <f t="shared" si="374"/>
        <v>无</v>
      </c>
      <c r="AE256" s="7" t="str">
        <f t="shared" si="374"/>
        <v>无</v>
      </c>
      <c r="AF256" s="7" t="str">
        <f t="shared" si="374"/>
        <v>无</v>
      </c>
      <c r="AG256" s="7" t="str">
        <f t="shared" si="374"/>
        <v>无</v>
      </c>
      <c r="AH256" s="7" t="str">
        <f t="shared" si="374"/>
        <v>无</v>
      </c>
      <c r="AI256" s="15">
        <v>1</v>
      </c>
      <c r="AJ256" s="15">
        <v>2</v>
      </c>
      <c r="AK256" s="15">
        <v>3</v>
      </c>
      <c r="AL256" s="15">
        <v>4</v>
      </c>
      <c r="AM256" s="15">
        <v>5</v>
      </c>
      <c r="AN256" s="15">
        <v>6</v>
      </c>
      <c r="AO256" s="15">
        <v>7</v>
      </c>
      <c r="AP256" s="15"/>
    </row>
    <row r="257" s="7" customFormat="1" spans="1:42">
      <c r="A257" s="15">
        <v>163027</v>
      </c>
      <c r="B257" s="15" t="s">
        <v>538</v>
      </c>
      <c r="C257" s="15" t="s">
        <v>538</v>
      </c>
      <c r="D257" s="17" t="s">
        <v>95</v>
      </c>
      <c r="E257" s="7">
        <v>2528</v>
      </c>
      <c r="F257" s="7">
        <v>-1</v>
      </c>
      <c r="G257" s="7">
        <v>0</v>
      </c>
      <c r="H257" s="7">
        <v>0</v>
      </c>
      <c r="I257" s="15" t="s">
        <v>43</v>
      </c>
      <c r="J257" s="7">
        <v>-1</v>
      </c>
      <c r="K257" s="7">
        <v>0</v>
      </c>
      <c r="L257" s="7">
        <v>0</v>
      </c>
      <c r="N257" s="24">
        <v>1</v>
      </c>
      <c r="O257" s="7">
        <v>1</v>
      </c>
      <c r="Q257" s="7" t="s">
        <v>149</v>
      </c>
      <c r="R257" s="7" t="s">
        <v>149</v>
      </c>
      <c r="S257" s="15">
        <v>24</v>
      </c>
      <c r="T257" s="7" t="str">
        <f t="shared" si="344"/>
        <v>化瘀</v>
      </c>
      <c r="U257" s="7" t="str">
        <f t="shared" ref="U257:Z257" si="375">T257</f>
        <v>化瘀</v>
      </c>
      <c r="V257" s="7" t="str">
        <f t="shared" si="375"/>
        <v>化瘀</v>
      </c>
      <c r="W257" s="7" t="str">
        <f t="shared" si="375"/>
        <v>化瘀</v>
      </c>
      <c r="X257" s="7" t="str">
        <f t="shared" si="375"/>
        <v>化瘀</v>
      </c>
      <c r="Y257" s="7" t="str">
        <f t="shared" si="375"/>
        <v>化瘀</v>
      </c>
      <c r="Z257" s="7" t="str">
        <f t="shared" si="375"/>
        <v>化瘀</v>
      </c>
      <c r="AA257" s="7" t="s">
        <v>81</v>
      </c>
      <c r="AB257" s="7" t="str">
        <f t="shared" ref="AB257:AH257" si="376">AA257</f>
        <v>无</v>
      </c>
      <c r="AC257" s="7" t="str">
        <f t="shared" si="376"/>
        <v>无</v>
      </c>
      <c r="AD257" s="7" t="str">
        <f t="shared" si="376"/>
        <v>无</v>
      </c>
      <c r="AE257" s="7" t="str">
        <f t="shared" si="376"/>
        <v>无</v>
      </c>
      <c r="AF257" s="7" t="str">
        <f t="shared" si="376"/>
        <v>无</v>
      </c>
      <c r="AG257" s="7" t="str">
        <f t="shared" si="376"/>
        <v>无</v>
      </c>
      <c r="AH257" s="7" t="str">
        <f t="shared" si="376"/>
        <v>无</v>
      </c>
      <c r="AI257" s="15">
        <v>1</v>
      </c>
      <c r="AJ257" s="15">
        <v>2</v>
      </c>
      <c r="AK257" s="15">
        <v>3</v>
      </c>
      <c r="AL257" s="15">
        <v>4</v>
      </c>
      <c r="AM257" s="15">
        <v>5</v>
      </c>
      <c r="AN257" s="15">
        <v>6</v>
      </c>
      <c r="AO257" s="15">
        <v>7</v>
      </c>
      <c r="AP257" s="15"/>
    </row>
    <row r="258" s="7" customFormat="1" spans="1:42">
      <c r="A258" s="15">
        <v>163028</v>
      </c>
      <c r="B258" s="15" t="s">
        <v>539</v>
      </c>
      <c r="C258" s="15" t="s">
        <v>539</v>
      </c>
      <c r="D258" s="16" t="s">
        <v>97</v>
      </c>
      <c r="E258" s="7">
        <v>2529</v>
      </c>
      <c r="F258" s="7">
        <v>-1</v>
      </c>
      <c r="G258" s="7">
        <v>0</v>
      </c>
      <c r="H258" s="7">
        <v>0</v>
      </c>
      <c r="I258" s="15" t="s">
        <v>43</v>
      </c>
      <c r="J258" s="7">
        <v>-1</v>
      </c>
      <c r="K258" s="7">
        <v>0</v>
      </c>
      <c r="L258" s="7">
        <v>0</v>
      </c>
      <c r="N258" s="24">
        <v>1</v>
      </c>
      <c r="O258" s="7">
        <v>1</v>
      </c>
      <c r="Q258" s="7" t="s">
        <v>149</v>
      </c>
      <c r="R258" s="7" t="s">
        <v>149</v>
      </c>
      <c r="S258" s="15">
        <v>25</v>
      </c>
      <c r="T258" s="7" t="str">
        <f t="shared" si="344"/>
        <v>归气</v>
      </c>
      <c r="U258" s="7" t="str">
        <f t="shared" ref="U258:Z258" si="377">T258</f>
        <v>归气</v>
      </c>
      <c r="V258" s="7" t="str">
        <f t="shared" si="377"/>
        <v>归气</v>
      </c>
      <c r="W258" s="7" t="str">
        <f t="shared" si="377"/>
        <v>归气</v>
      </c>
      <c r="X258" s="7" t="str">
        <f t="shared" si="377"/>
        <v>归气</v>
      </c>
      <c r="Y258" s="7" t="str">
        <f t="shared" si="377"/>
        <v>归气</v>
      </c>
      <c r="Z258" s="7" t="str">
        <f t="shared" si="377"/>
        <v>归气</v>
      </c>
      <c r="AA258" s="7" t="s">
        <v>81</v>
      </c>
      <c r="AB258" s="7" t="str">
        <f t="shared" ref="AB258:AH258" si="378">AA258</f>
        <v>无</v>
      </c>
      <c r="AC258" s="7" t="str">
        <f t="shared" si="378"/>
        <v>无</v>
      </c>
      <c r="AD258" s="7" t="str">
        <f t="shared" si="378"/>
        <v>无</v>
      </c>
      <c r="AE258" s="7" t="str">
        <f t="shared" si="378"/>
        <v>无</v>
      </c>
      <c r="AF258" s="7" t="str">
        <f t="shared" si="378"/>
        <v>无</v>
      </c>
      <c r="AG258" s="7" t="str">
        <f t="shared" si="378"/>
        <v>无</v>
      </c>
      <c r="AH258" s="7" t="str">
        <f t="shared" si="378"/>
        <v>无</v>
      </c>
      <c r="AI258" s="15">
        <v>1</v>
      </c>
      <c r="AJ258" s="15">
        <v>2</v>
      </c>
      <c r="AK258" s="15">
        <v>3</v>
      </c>
      <c r="AL258" s="15">
        <v>4</v>
      </c>
      <c r="AM258" s="15">
        <v>5</v>
      </c>
      <c r="AN258" s="15">
        <v>6</v>
      </c>
      <c r="AO258" s="15">
        <v>7</v>
      </c>
      <c r="AP258" s="15"/>
    </row>
    <row r="259" s="7" customFormat="1" spans="1:42">
      <c r="A259" s="15">
        <v>163029</v>
      </c>
      <c r="B259" s="15" t="s">
        <v>540</v>
      </c>
      <c r="C259" s="15" t="s">
        <v>540</v>
      </c>
      <c r="D259" s="17" t="s">
        <v>89</v>
      </c>
      <c r="E259" s="7">
        <v>2530</v>
      </c>
      <c r="F259" s="7">
        <v>-1</v>
      </c>
      <c r="G259" s="7">
        <v>0</v>
      </c>
      <c r="H259" s="7">
        <v>0</v>
      </c>
      <c r="I259" s="15" t="s">
        <v>43</v>
      </c>
      <c r="J259" s="7">
        <v>-1</v>
      </c>
      <c r="K259" s="7">
        <v>0</v>
      </c>
      <c r="L259" s="7">
        <v>0</v>
      </c>
      <c r="N259" s="24">
        <v>1</v>
      </c>
      <c r="O259" s="7">
        <v>1</v>
      </c>
      <c r="Q259" s="7" t="s">
        <v>149</v>
      </c>
      <c r="R259" s="7" t="s">
        <v>149</v>
      </c>
      <c r="S259" s="15">
        <v>26</v>
      </c>
      <c r="T259" s="7" t="str">
        <f t="shared" si="344"/>
        <v>佛佑</v>
      </c>
      <c r="U259" s="7" t="str">
        <f t="shared" ref="U259:Z259" si="379">T259</f>
        <v>佛佑</v>
      </c>
      <c r="V259" s="7" t="str">
        <f t="shared" si="379"/>
        <v>佛佑</v>
      </c>
      <c r="W259" s="7" t="str">
        <f t="shared" si="379"/>
        <v>佛佑</v>
      </c>
      <c r="X259" s="7" t="str">
        <f t="shared" si="379"/>
        <v>佛佑</v>
      </c>
      <c r="Y259" s="7" t="str">
        <f t="shared" si="379"/>
        <v>佛佑</v>
      </c>
      <c r="Z259" s="7" t="str">
        <f t="shared" si="379"/>
        <v>佛佑</v>
      </c>
      <c r="AA259" s="7" t="s">
        <v>81</v>
      </c>
      <c r="AB259" s="7" t="str">
        <f t="shared" ref="AB259:AH259" si="380">AA259</f>
        <v>无</v>
      </c>
      <c r="AC259" s="7" t="str">
        <f t="shared" si="380"/>
        <v>无</v>
      </c>
      <c r="AD259" s="7" t="str">
        <f t="shared" si="380"/>
        <v>无</v>
      </c>
      <c r="AE259" s="7" t="str">
        <f t="shared" si="380"/>
        <v>无</v>
      </c>
      <c r="AF259" s="7" t="str">
        <f t="shared" si="380"/>
        <v>无</v>
      </c>
      <c r="AG259" s="7" t="str">
        <f t="shared" si="380"/>
        <v>无</v>
      </c>
      <c r="AH259" s="7" t="str">
        <f t="shared" si="380"/>
        <v>无</v>
      </c>
      <c r="AI259" s="15">
        <v>1</v>
      </c>
      <c r="AJ259" s="15">
        <v>2</v>
      </c>
      <c r="AK259" s="15">
        <v>3</v>
      </c>
      <c r="AL259" s="15">
        <v>4</v>
      </c>
      <c r="AM259" s="15">
        <v>5</v>
      </c>
      <c r="AN259" s="15">
        <v>6</v>
      </c>
      <c r="AO259" s="15">
        <v>7</v>
      </c>
      <c r="AP259" s="15"/>
    </row>
    <row r="260" s="7" customFormat="1" spans="1:42">
      <c r="A260" s="15">
        <v>163030</v>
      </c>
      <c r="B260" s="15" t="s">
        <v>541</v>
      </c>
      <c r="C260" s="15" t="s">
        <v>541</v>
      </c>
      <c r="D260" s="17" t="s">
        <v>103</v>
      </c>
      <c r="E260" s="7">
        <v>2531</v>
      </c>
      <c r="F260" s="7">
        <v>-1</v>
      </c>
      <c r="G260" s="7">
        <v>0</v>
      </c>
      <c r="H260" s="7">
        <v>0</v>
      </c>
      <c r="I260" s="15" t="s">
        <v>481</v>
      </c>
      <c r="J260" s="7">
        <v>-1</v>
      </c>
      <c r="K260" s="7">
        <v>0</v>
      </c>
      <c r="L260" s="7">
        <v>0</v>
      </c>
      <c r="N260" s="24">
        <v>1</v>
      </c>
      <c r="O260" s="7">
        <v>1</v>
      </c>
      <c r="Q260" s="7" t="s">
        <v>149</v>
      </c>
      <c r="R260" s="7" t="s">
        <v>149</v>
      </c>
      <c r="S260" s="15">
        <v>27</v>
      </c>
      <c r="T260" s="7" t="str">
        <f t="shared" si="344"/>
        <v>妙悟</v>
      </c>
      <c r="U260" s="7" t="str">
        <f t="shared" ref="U260:Z260" si="381">T260</f>
        <v>妙悟</v>
      </c>
      <c r="V260" s="7" t="str">
        <f t="shared" si="381"/>
        <v>妙悟</v>
      </c>
      <c r="W260" s="7" t="str">
        <f t="shared" si="381"/>
        <v>妙悟</v>
      </c>
      <c r="X260" s="7" t="str">
        <f t="shared" si="381"/>
        <v>妙悟</v>
      </c>
      <c r="Y260" s="7" t="str">
        <f t="shared" si="381"/>
        <v>妙悟</v>
      </c>
      <c r="Z260" s="7" t="str">
        <f t="shared" si="381"/>
        <v>妙悟</v>
      </c>
      <c r="AA260" s="7" t="s">
        <v>542</v>
      </c>
      <c r="AB260" s="7" t="str">
        <f t="shared" ref="AB260:AH260" si="382">AA260</f>
        <v>【冷却】2回合</v>
      </c>
      <c r="AC260" s="7" t="str">
        <f t="shared" si="382"/>
        <v>【冷却】2回合</v>
      </c>
      <c r="AD260" s="7" t="str">
        <f t="shared" si="382"/>
        <v>【冷却】2回合</v>
      </c>
      <c r="AE260" s="7" t="str">
        <f t="shared" si="382"/>
        <v>【冷却】2回合</v>
      </c>
      <c r="AF260" s="7" t="str">
        <f t="shared" si="382"/>
        <v>【冷却】2回合</v>
      </c>
      <c r="AG260" s="7" t="str">
        <f t="shared" si="382"/>
        <v>【冷却】2回合</v>
      </c>
      <c r="AH260" s="7" t="str">
        <f t="shared" si="382"/>
        <v>【冷却】2回合</v>
      </c>
      <c r="AI260" s="15">
        <v>1</v>
      </c>
      <c r="AJ260" s="15">
        <v>2</v>
      </c>
      <c r="AK260" s="15">
        <v>3</v>
      </c>
      <c r="AL260" s="15">
        <v>4</v>
      </c>
      <c r="AM260" s="15">
        <v>5</v>
      </c>
      <c r="AN260" s="15">
        <v>6</v>
      </c>
      <c r="AO260" s="15">
        <v>7</v>
      </c>
      <c r="AP260" s="15"/>
    </row>
    <row r="261" s="7" customFormat="1" spans="1:42">
      <c r="A261" s="15">
        <v>163031</v>
      </c>
      <c r="B261" s="15" t="s">
        <v>543</v>
      </c>
      <c r="C261" s="15" t="s">
        <v>543</v>
      </c>
      <c r="D261" s="17" t="s">
        <v>95</v>
      </c>
      <c r="E261" s="7">
        <v>2532</v>
      </c>
      <c r="F261" s="7">
        <v>-1</v>
      </c>
      <c r="G261" s="7">
        <v>0</v>
      </c>
      <c r="H261" s="7">
        <v>0</v>
      </c>
      <c r="I261" s="15" t="s">
        <v>43</v>
      </c>
      <c r="J261" s="7">
        <v>-1</v>
      </c>
      <c r="K261" s="7">
        <v>0</v>
      </c>
      <c r="L261" s="7">
        <v>0</v>
      </c>
      <c r="N261" s="24">
        <v>1</v>
      </c>
      <c r="O261" s="7">
        <v>1</v>
      </c>
      <c r="Q261" s="7" t="s">
        <v>149</v>
      </c>
      <c r="R261" s="7" t="s">
        <v>149</v>
      </c>
      <c r="S261" s="15">
        <v>28</v>
      </c>
      <c r="T261" s="7" t="str">
        <f t="shared" si="344"/>
        <v>佛缘</v>
      </c>
      <c r="U261" s="7" t="str">
        <f t="shared" ref="U261:Z261" si="383">T261</f>
        <v>佛缘</v>
      </c>
      <c r="V261" s="7" t="str">
        <f t="shared" si="383"/>
        <v>佛缘</v>
      </c>
      <c r="W261" s="7" t="str">
        <f t="shared" si="383"/>
        <v>佛缘</v>
      </c>
      <c r="X261" s="7" t="str">
        <f t="shared" si="383"/>
        <v>佛缘</v>
      </c>
      <c r="Y261" s="7" t="str">
        <f t="shared" si="383"/>
        <v>佛缘</v>
      </c>
      <c r="Z261" s="7" t="str">
        <f t="shared" si="383"/>
        <v>佛缘</v>
      </c>
      <c r="AA261" s="7" t="s">
        <v>81</v>
      </c>
      <c r="AB261" s="7" t="str">
        <f t="shared" ref="AB261:AH261" si="384">AA261</f>
        <v>无</v>
      </c>
      <c r="AC261" s="7" t="str">
        <f t="shared" si="384"/>
        <v>无</v>
      </c>
      <c r="AD261" s="7" t="str">
        <f t="shared" si="384"/>
        <v>无</v>
      </c>
      <c r="AE261" s="7" t="str">
        <f t="shared" si="384"/>
        <v>无</v>
      </c>
      <c r="AF261" s="7" t="str">
        <f t="shared" si="384"/>
        <v>无</v>
      </c>
      <c r="AG261" s="7" t="str">
        <f t="shared" si="384"/>
        <v>无</v>
      </c>
      <c r="AH261" s="7" t="str">
        <f t="shared" si="384"/>
        <v>无</v>
      </c>
      <c r="AI261" s="15">
        <v>1</v>
      </c>
      <c r="AJ261" s="15">
        <v>2</v>
      </c>
      <c r="AK261" s="15">
        <v>3</v>
      </c>
      <c r="AL261" s="15">
        <v>4</v>
      </c>
      <c r="AM261" s="15">
        <v>5</v>
      </c>
      <c r="AN261" s="15">
        <v>6</v>
      </c>
      <c r="AO261" s="15">
        <v>7</v>
      </c>
      <c r="AP261" s="15"/>
    </row>
    <row r="262" s="7" customFormat="1" spans="1:42">
      <c r="A262" s="15">
        <v>163032</v>
      </c>
      <c r="B262" s="15" t="s">
        <v>544</v>
      </c>
      <c r="C262" s="15" t="s">
        <v>544</v>
      </c>
      <c r="D262" s="20" t="s">
        <v>113</v>
      </c>
      <c r="E262" s="7">
        <v>2380</v>
      </c>
      <c r="F262" s="7">
        <v>-1</v>
      </c>
      <c r="G262" s="7">
        <v>0</v>
      </c>
      <c r="H262" s="7">
        <v>0</v>
      </c>
      <c r="I262" s="15" t="s">
        <v>43</v>
      </c>
      <c r="J262" s="7">
        <v>-1</v>
      </c>
      <c r="K262" s="7">
        <v>0</v>
      </c>
      <c r="L262" s="7">
        <v>0</v>
      </c>
      <c r="N262" s="24">
        <v>1</v>
      </c>
      <c r="O262" s="7">
        <v>1</v>
      </c>
      <c r="Q262" s="7" t="s">
        <v>149</v>
      </c>
      <c r="R262" s="7" t="s">
        <v>149</v>
      </c>
      <c r="S262" s="15">
        <v>29</v>
      </c>
      <c r="T262" s="7" t="str">
        <f t="shared" si="344"/>
        <v>杏林妙手</v>
      </c>
      <c r="U262" s="7" t="str">
        <f t="shared" ref="U262:Z262" si="385">T262</f>
        <v>杏林妙手</v>
      </c>
      <c r="V262" s="7" t="str">
        <f t="shared" si="385"/>
        <v>杏林妙手</v>
      </c>
      <c r="W262" s="7" t="str">
        <f t="shared" si="385"/>
        <v>杏林妙手</v>
      </c>
      <c r="X262" s="7" t="str">
        <f t="shared" si="385"/>
        <v>杏林妙手</v>
      </c>
      <c r="Y262" s="7" t="str">
        <f t="shared" si="385"/>
        <v>杏林妙手</v>
      </c>
      <c r="Z262" s="7" t="str">
        <f t="shared" si="385"/>
        <v>杏林妙手</v>
      </c>
      <c r="AA262" s="7" t="s">
        <v>81</v>
      </c>
      <c r="AB262" s="7" t="str">
        <f t="shared" ref="AB262:AH262" si="386">AA262</f>
        <v>无</v>
      </c>
      <c r="AC262" s="7" t="str">
        <f t="shared" si="386"/>
        <v>无</v>
      </c>
      <c r="AD262" s="7" t="str">
        <f t="shared" si="386"/>
        <v>无</v>
      </c>
      <c r="AE262" s="7" t="str">
        <f t="shared" si="386"/>
        <v>无</v>
      </c>
      <c r="AF262" s="7" t="str">
        <f t="shared" si="386"/>
        <v>无</v>
      </c>
      <c r="AG262" s="7" t="str">
        <f t="shared" si="386"/>
        <v>无</v>
      </c>
      <c r="AH262" s="7" t="str">
        <f t="shared" si="386"/>
        <v>无</v>
      </c>
      <c r="AI262" s="15">
        <v>1</v>
      </c>
      <c r="AJ262" s="15">
        <v>2</v>
      </c>
      <c r="AK262" s="15">
        <v>3</v>
      </c>
      <c r="AL262" s="15">
        <v>4</v>
      </c>
      <c r="AM262" s="15">
        <v>5</v>
      </c>
      <c r="AN262" s="15">
        <v>6</v>
      </c>
      <c r="AO262" s="15">
        <v>7</v>
      </c>
      <c r="AP262" s="15"/>
    </row>
    <row r="263" s="9" customFormat="1" spans="1:42">
      <c r="A263" s="29">
        <v>171006</v>
      </c>
      <c r="B263" s="30" t="s">
        <v>74</v>
      </c>
      <c r="C263" s="30" t="s">
        <v>74</v>
      </c>
      <c r="D263" s="9" t="str">
        <f>IF(D9="","",D9)</f>
        <v>大唐官府门派绝技，手中只一剑，却化作万道剑气飞向敌人，极少有人能在这样的攻势下幸免</v>
      </c>
      <c r="E263" s="9">
        <f t="shared" ref="D263:G263" si="387">IF(E9="","",E9)</f>
        <v>24</v>
      </c>
      <c r="F263" s="9">
        <f t="shared" si="387"/>
        <v>120</v>
      </c>
      <c r="G263" s="9">
        <f t="shared" si="387"/>
        <v>0</v>
      </c>
      <c r="H263" s="9">
        <v>0</v>
      </c>
      <c r="I263" s="9" t="str">
        <f t="shared" ref="I263:L263" si="388">IF(I9="","",I9)</f>
        <v>消耗：$parameter1$愤怒</v>
      </c>
      <c r="J263" s="9">
        <f t="shared" si="388"/>
        <v>-1</v>
      </c>
      <c r="K263" s="9">
        <f t="shared" si="388"/>
        <v>0</v>
      </c>
      <c r="L263" s="9">
        <f t="shared" si="388"/>
        <v>0</v>
      </c>
      <c r="N263" s="9">
        <f t="shared" ref="N263:AO263" si="389">IF(N9="","",N9)</f>
        <v>480</v>
      </c>
      <c r="O263" s="9">
        <f t="shared" si="389"/>
        <v>1</v>
      </c>
      <c r="P263" s="9" t="str">
        <f t="shared" si="389"/>
        <v/>
      </c>
      <c r="Q263" s="9" t="str">
        <f t="shared" si="389"/>
        <v>大唐官府门派绝技，手中只一剑，却化作万道剑气飞向敌人，极少有人能在这样的攻势下幸免</v>
      </c>
      <c r="R263" s="9" t="str">
        <f t="shared" si="389"/>
        <v>直接对目标发动5-9次攻击，自身气血越低攻击次数越多。伤害是普通攻击的50%，无法被防御和保护，使用后虚弱休息1回合，虚弱休息状态下双防降低。</v>
      </c>
      <c r="S263" s="9">
        <f t="shared" si="389"/>
        <v>8</v>
      </c>
      <c r="T263" s="9" t="str">
        <f t="shared" si="389"/>
        <v>直接对目标发动5-9次攻击，自身气血越低攻击次数越多。伤害是普通攻击的50%，无法被防御和保护，使用后虚弱休息1回合，虚弱休息状态下双防降低。</v>
      </c>
      <c r="U263" s="9" t="str">
        <f t="shared" si="389"/>
        <v>直接对目标发动5-9次攻击，自身气血越低攻击次数越多。伤害是普通攻击的50%，无法被防御和保护，使用后虚弱休息1回合，虚弱休息状态下双防降低。</v>
      </c>
      <c r="V263" s="9" t="str">
        <f t="shared" si="389"/>
        <v>直接对目标发动5-9次攻击，自身气血越低攻击次数越多。伤害是普通攻击的50%，无法被防御和保护，使用后虚弱休息1回合，虚弱休息状态下双防降低。</v>
      </c>
      <c r="W263" s="9" t="str">
        <f t="shared" si="389"/>
        <v>直接对目标发动5-9次攻击，自身气血越低攻击次数越多。伤害是普通攻击的50%，无法被防御和保护，使用后虚弱休息1回合，虚弱休息状态下双防降低。</v>
      </c>
      <c r="X263" s="9" t="str">
        <f t="shared" si="389"/>
        <v>直接对目标发动5-9次攻击，自身气血越低攻击次数越多。伤害是普通攻击的50%，无法被防御和保护，使用后虚弱休息1回合，虚弱休息状态下双防降低。</v>
      </c>
      <c r="Y263" s="9" t="str">
        <f t="shared" si="389"/>
        <v>直接对目标发动5-9次攻击，自身气血越低攻击次数越多。伤害是普通攻击的50%，无法被防御和保护，使用后虚弱休息1回合，虚弱休息状态下双防降低。</v>
      </c>
      <c r="Z263" s="9" t="str">
        <f t="shared" si="389"/>
        <v>直接对目标发动5-9次攻击，自身气血越低攻击次数越多。伤害是普通攻击的50%，无法被防御和保护，使用后虚弱休息1回合，虚弱休息状态下双防降低。</v>
      </c>
      <c r="AA263" s="9" t="str">
        <f t="shared" si="389"/>
        <v>增加技能使用时的效果</v>
      </c>
      <c r="AB263" s="9" t="str">
        <f t="shared" si="389"/>
        <v>增加技能使用时的效果</v>
      </c>
      <c r="AC263" s="9" t="str">
        <f t="shared" si="389"/>
        <v>增加技能使用时的效果</v>
      </c>
      <c r="AD263" s="9" t="str">
        <f t="shared" si="389"/>
        <v>增加技能使用时的效果</v>
      </c>
      <c r="AE263" s="9" t="str">
        <f t="shared" si="389"/>
        <v>增加技能使用时的效果</v>
      </c>
      <c r="AF263" s="9" t="str">
        <f t="shared" si="389"/>
        <v>增加技能使用时的效果</v>
      </c>
      <c r="AG263" s="9" t="str">
        <f t="shared" si="389"/>
        <v>增加技能使用时的效果</v>
      </c>
      <c r="AH263" s="9" t="str">
        <f t="shared" si="389"/>
        <v>增加技能使用时的效果</v>
      </c>
      <c r="AI263" s="9">
        <f t="shared" si="389"/>
        <v>1</v>
      </c>
      <c r="AJ263" s="9">
        <f t="shared" si="389"/>
        <v>2</v>
      </c>
      <c r="AK263" s="9">
        <f t="shared" si="389"/>
        <v>3</v>
      </c>
      <c r="AL263" s="9">
        <f t="shared" si="389"/>
        <v>4</v>
      </c>
      <c r="AM263" s="9">
        <f t="shared" si="389"/>
        <v>5</v>
      </c>
      <c r="AN263" s="9">
        <f t="shared" si="389"/>
        <v>6</v>
      </c>
      <c r="AO263" s="9">
        <f t="shared" si="389"/>
        <v>7</v>
      </c>
      <c r="AP263" s="37"/>
    </row>
    <row r="264" s="9" customFormat="1" spans="1:42">
      <c r="A264" s="31">
        <v>172006</v>
      </c>
      <c r="B264" s="32" t="s">
        <v>145</v>
      </c>
      <c r="C264" s="32" t="s">
        <v>145</v>
      </c>
      <c r="D264" s="9" t="str">
        <f>IF(D38="","",D38)</f>
        <v>方寸山门派绝技。相传三星洞中有古钟一座，其声响彻万里，神仙鬼怪听闻，无不心旌荡漾。</v>
      </c>
      <c r="E264" s="9">
        <f t="shared" ref="D264:G264" si="390">IF(E38="","",E38)</f>
        <v>32</v>
      </c>
      <c r="F264" s="9">
        <f t="shared" si="390"/>
        <v>120</v>
      </c>
      <c r="G264" s="9">
        <f t="shared" si="390"/>
        <v>0</v>
      </c>
      <c r="H264" s="9">
        <v>0</v>
      </c>
      <c r="I264" s="9" t="str">
        <f t="shared" ref="I264:L264" si="391">IF(I38="","",I38)</f>
        <v>消耗：$parameter1$愤怒</v>
      </c>
      <c r="J264" s="9">
        <f t="shared" si="391"/>
        <v>-1</v>
      </c>
      <c r="K264" s="9">
        <f t="shared" si="391"/>
        <v>0</v>
      </c>
      <c r="L264" s="9">
        <f t="shared" si="391"/>
        <v>0</v>
      </c>
      <c r="N264" s="9">
        <f t="shared" ref="N264:AO264" si="392">IF(N38="","",N38)</f>
        <v>480</v>
      </c>
      <c r="O264" s="9">
        <f t="shared" si="392"/>
        <v>1</v>
      </c>
      <c r="P264" s="9" t="str">
        <f t="shared" si="392"/>
        <v/>
      </c>
      <c r="Q264" s="9" t="str">
        <f t="shared" si="392"/>
        <v>方寸山门派绝技。相传三星洞中有古钟一座，其声响彻万里，神仙鬼怪听闻，无不心旌荡漾。</v>
      </c>
      <c r="R264" s="9" t="str">
        <f t="shared" si="392"/>
        <v>干扰敌方5个目标，随机使其进入失心、定身，离魂状态，持续3回合，首目标必中，其他目标为基础命中率的35%，使用后虚弱休息1回合。</v>
      </c>
      <c r="S264" s="9">
        <f t="shared" si="392"/>
        <v>8</v>
      </c>
      <c r="T264" s="9" t="str">
        <f t="shared" si="392"/>
        <v>干扰敌方5个目标，随机使其进入失心、定身，离魂状态，持续3回合，首目标必中，其他目标为基础命中率的35%，使用后虚弱休息1回合。</v>
      </c>
      <c r="U264" s="9" t="str">
        <f t="shared" si="392"/>
        <v>干扰敌方5个目标，随机使其进入失心、定身，离魂状态，持续3回合，首目标必中，其他目标为基础命中率的35%，使用后虚弱休息1回合。</v>
      </c>
      <c r="V264" s="9" t="str">
        <f t="shared" si="392"/>
        <v>干扰敌方5个目标，随机使其进入失心、定身，离魂状态，持续3回合，首目标必中，其他目标为基础命中率的35%，使用后虚弱休息1回合。</v>
      </c>
      <c r="W264" s="9" t="str">
        <f t="shared" si="392"/>
        <v>干扰敌方5个目标，随机使其进入失心、定身，离魂状态，持续3回合，首目标必中，其他目标为基础命中率的35%，使用后虚弱休息1回合。</v>
      </c>
      <c r="X264" s="9" t="str">
        <f t="shared" si="392"/>
        <v>干扰敌方5个目标，随机使其进入失心、定身，离魂状态，持续3回合，首目标必中，其他目标为基础命中率的35%，使用后虚弱休息1回合。</v>
      </c>
      <c r="Y264" s="9" t="str">
        <f t="shared" si="392"/>
        <v>干扰敌方5个目标，随机使其进入失心、定身，离魂状态，持续3回合，首目标必中，其他目标为基础命中率的35%，使用后虚弱休息1回合。</v>
      </c>
      <c r="Z264" s="9" t="str">
        <f t="shared" si="392"/>
        <v>干扰敌方5个目标，随机使其进入失心、定身，离魂状态，持续3回合，首目标必中，其他目标为基础命中率的35%，使用后虚弱休息1回合。</v>
      </c>
      <c r="AA264" s="9" t="str">
        <f t="shared" si="392"/>
        <v>增加技能使用时的效果。</v>
      </c>
      <c r="AB264" s="9" t="str">
        <f t="shared" si="392"/>
        <v>增加技能使用时的效果。</v>
      </c>
      <c r="AC264" s="9" t="str">
        <f t="shared" si="392"/>
        <v>增加技能使用时的效果。</v>
      </c>
      <c r="AD264" s="9" t="str">
        <f t="shared" si="392"/>
        <v>增加技能使用时的效果。</v>
      </c>
      <c r="AE264" s="9" t="str">
        <f t="shared" si="392"/>
        <v>增加技能使用时的效果。</v>
      </c>
      <c r="AF264" s="9" t="str">
        <f t="shared" si="392"/>
        <v>增加技能使用时的效果。</v>
      </c>
      <c r="AG264" s="9" t="str">
        <f t="shared" si="392"/>
        <v>增加技能使用时的效果。</v>
      </c>
      <c r="AH264" s="9" t="str">
        <f t="shared" si="392"/>
        <v>增加技能使用时的效果。</v>
      </c>
      <c r="AI264" s="9">
        <f t="shared" si="392"/>
        <v>1</v>
      </c>
      <c r="AJ264" s="9">
        <f t="shared" si="392"/>
        <v>2</v>
      </c>
      <c r="AK264" s="9">
        <f t="shared" si="392"/>
        <v>3</v>
      </c>
      <c r="AL264" s="9">
        <f t="shared" si="392"/>
        <v>4</v>
      </c>
      <c r="AM264" s="9">
        <f t="shared" si="392"/>
        <v>5</v>
      </c>
      <c r="AN264" s="9">
        <f t="shared" si="392"/>
        <v>6</v>
      </c>
      <c r="AO264" s="9">
        <f t="shared" si="392"/>
        <v>7</v>
      </c>
      <c r="AP264" s="37"/>
    </row>
    <row r="265" s="9" customFormat="1" spans="1:42">
      <c r="A265" s="29">
        <v>173006</v>
      </c>
      <c r="B265" s="33" t="s">
        <v>201</v>
      </c>
      <c r="C265" s="33" t="s">
        <v>201</v>
      </c>
      <c r="D265" s="9" t="str">
        <f>IF(D67="","",D67)</f>
        <v>狮驼岭门派绝技。魔兽能在极度愤怒的情况下，化身上古巨鹰，对敌人发动毁灭性的群体攻击。 </v>
      </c>
      <c r="E265" s="9">
        <f t="shared" ref="D265:G265" si="393">IF(E67="","",E67)</f>
        <v>40</v>
      </c>
      <c r="F265" s="9">
        <f t="shared" si="393"/>
        <v>120</v>
      </c>
      <c r="G265" s="9">
        <f t="shared" si="393"/>
        <v>0</v>
      </c>
      <c r="H265" s="9">
        <v>0</v>
      </c>
      <c r="I265" s="9" t="str">
        <f t="shared" ref="I265:L265" si="394">IF(I67="","",I67)</f>
        <v>消耗：$parameter1$愤怒</v>
      </c>
      <c r="J265" s="9">
        <f t="shared" si="394"/>
        <v>-1</v>
      </c>
      <c r="K265" s="9">
        <f t="shared" si="394"/>
        <v>0</v>
      </c>
      <c r="L265" s="9">
        <f t="shared" si="394"/>
        <v>0</v>
      </c>
      <c r="N265" s="9">
        <f t="shared" ref="N265:AO265" si="395">IF(N67="","",N67)</f>
        <v>480</v>
      </c>
      <c r="O265" s="9">
        <f t="shared" si="395"/>
        <v>1</v>
      </c>
      <c r="P265" s="9" t="str">
        <f t="shared" si="395"/>
        <v/>
      </c>
      <c r="Q265" s="9" t="str">
        <f t="shared" si="395"/>
        <v>狮驼岭门派绝技，魔兽能在极度愤怒的情况下，化身上古巨鹰，对敌人发动毁灭性的群体攻击</v>
      </c>
      <c r="R265" s="9" t="str">
        <f t="shared" si="395"/>
        <v>鹰击的进阶，攻击10个单位，使用后休息1回合</v>
      </c>
      <c r="S265" s="9">
        <f t="shared" si="395"/>
        <v>7</v>
      </c>
      <c r="T265" s="9" t="str">
        <f t="shared" si="395"/>
        <v>鹰击的进阶，攻击10个单位，使用后休息1回合</v>
      </c>
      <c r="U265" s="9" t="str">
        <f t="shared" si="395"/>
        <v>鹰击的进阶，攻击10个单位，使用后休息1回合</v>
      </c>
      <c r="V265" s="9" t="str">
        <f t="shared" si="395"/>
        <v>鹰击的进阶，攻击10个单位，使用后休息1回合</v>
      </c>
      <c r="W265" s="9" t="str">
        <f t="shared" si="395"/>
        <v>鹰击的进阶，攻击10个单位，使用后休息1回合</v>
      </c>
      <c r="X265" s="9" t="str">
        <f t="shared" si="395"/>
        <v>鹰击的进阶，攻击10个单位，使用后休息1回合</v>
      </c>
      <c r="Y265" s="9" t="str">
        <f t="shared" si="395"/>
        <v>鹰击的进阶，攻击10个单位，使用后休息1回合</v>
      </c>
      <c r="Z265" s="9" t="str">
        <f t="shared" si="395"/>
        <v>鹰击的进阶，攻击10个单位，使用后休息1回合</v>
      </c>
      <c r="AA265" s="9" t="str">
        <f t="shared" si="395"/>
        <v>增加技能使用时的效果</v>
      </c>
      <c r="AB265" s="9" t="str">
        <f t="shared" si="395"/>
        <v>增加技能使用时的效果</v>
      </c>
      <c r="AC265" s="9" t="str">
        <f t="shared" si="395"/>
        <v>增加技能使用时的效果</v>
      </c>
      <c r="AD265" s="9" t="str">
        <f t="shared" si="395"/>
        <v>增加技能使用时的效果</v>
      </c>
      <c r="AE265" s="9" t="str">
        <f t="shared" si="395"/>
        <v>增加技能使用时的效果</v>
      </c>
      <c r="AF265" s="9" t="str">
        <f t="shared" si="395"/>
        <v>增加技能使用时的效果</v>
      </c>
      <c r="AG265" s="9" t="str">
        <f t="shared" si="395"/>
        <v>增加技能使用时的效果</v>
      </c>
      <c r="AH265" s="9" t="str">
        <f t="shared" si="395"/>
        <v>增加技能使用时的效果</v>
      </c>
      <c r="AI265" s="9">
        <f t="shared" si="395"/>
        <v>1</v>
      </c>
      <c r="AJ265" s="9">
        <f t="shared" si="395"/>
        <v>2</v>
      </c>
      <c r="AK265" s="9">
        <f t="shared" si="395"/>
        <v>3</v>
      </c>
      <c r="AL265" s="9">
        <f t="shared" si="395"/>
        <v>4</v>
      </c>
      <c r="AM265" s="9">
        <f t="shared" si="395"/>
        <v>5</v>
      </c>
      <c r="AN265" s="9">
        <f t="shared" si="395"/>
        <v>6</v>
      </c>
      <c r="AO265" s="9">
        <f t="shared" si="395"/>
        <v>7</v>
      </c>
      <c r="AP265" s="37"/>
    </row>
    <row r="266" s="9" customFormat="1" spans="1:42">
      <c r="A266" s="31">
        <v>174006</v>
      </c>
      <c r="B266" s="32" t="s">
        <v>253</v>
      </c>
      <c r="C266" s="32" t="s">
        <v>253</v>
      </c>
      <c r="D266" s="9" t="str">
        <f>IF(D96="","",D96)</f>
        <v>阴曹地府门派绝技。喜荣华正好，恨无常又到。地府判官专司锁魂判罪。 </v>
      </c>
      <c r="E266" s="9">
        <f t="shared" ref="D266:G266" si="396">IF(E96="","",E96)</f>
        <v>48</v>
      </c>
      <c r="F266" s="9">
        <f t="shared" si="396"/>
        <v>120</v>
      </c>
      <c r="G266" s="9">
        <f t="shared" si="396"/>
        <v>0</v>
      </c>
      <c r="H266" s="9">
        <v>0</v>
      </c>
      <c r="I266" s="9" t="str">
        <f t="shared" ref="I266:L266" si="397">IF(I96="","",I96)</f>
        <v>消耗：$parameter1$愤怒</v>
      </c>
      <c r="J266" s="9">
        <f t="shared" si="397"/>
        <v>-1</v>
      </c>
      <c r="K266" s="9">
        <f t="shared" si="397"/>
        <v>0</v>
      </c>
      <c r="L266" s="9">
        <f t="shared" si="397"/>
        <v>0</v>
      </c>
      <c r="N266" s="9">
        <f t="shared" ref="N266:Z266" si="398">IF(N96="","",N96)</f>
        <v>480</v>
      </c>
      <c r="O266" s="9">
        <f t="shared" si="398"/>
        <v>1</v>
      </c>
      <c r="P266" s="9" t="str">
        <f t="shared" si="398"/>
        <v/>
      </c>
      <c r="Q266" s="9" t="str">
        <f t="shared" si="398"/>
        <v>阴曹地府门派绝技。喜荣华正好，恨无常又到。地府判官专司锁魂判罪。 </v>
      </c>
      <c r="R266" s="9" t="str">
        <f t="shared" si="398"/>
        <v>对目标造成伤害，使其6回合内无法被复活。使用后休息一回合。</v>
      </c>
      <c r="S266" s="9">
        <f t="shared" si="398"/>
        <v>8</v>
      </c>
      <c r="T266" s="9" t="str">
        <f t="shared" si="398"/>
        <v>对目标造成伤害，使其6回合内无法被复活。使用后休息一回合。</v>
      </c>
      <c r="U266" s="9" t="str">
        <f t="shared" si="398"/>
        <v>对目标造成伤害，使其6回合内无法被复活。使用后休息一回合。</v>
      </c>
      <c r="V266" s="9" t="str">
        <f t="shared" si="398"/>
        <v>对目标造成伤害，使其6回合内无法被复活。使用后休息一回合。</v>
      </c>
      <c r="W266" s="9" t="str">
        <f t="shared" si="398"/>
        <v>对目标造成伤害，使其6回合内无法被复活。使用后休息一回合。</v>
      </c>
      <c r="X266" s="9" t="str">
        <f t="shared" si="398"/>
        <v>对目标造成伤害，使其6回合内无法被复活。使用后休息一回合。</v>
      </c>
      <c r="Y266" s="9" t="str">
        <f t="shared" si="398"/>
        <v>对目标造成伤害，使其6回合内无法被复活。使用后休息一回合。</v>
      </c>
      <c r="Z266" s="9" t="str">
        <f t="shared" si="398"/>
        <v>对目标造成伤害，使其6回合内无法被复活。使用后休息一回合。</v>
      </c>
      <c r="AA266" s="9" t="str">
        <f t="shared" ref="AA266:AC266" si="399">IF(AB96="","",AB96)</f>
        <v>增加技能使用时的效果</v>
      </c>
      <c r="AB266" s="9" t="str">
        <f t="shared" si="399"/>
        <v>增加技能使用时的效果</v>
      </c>
      <c r="AC266" s="9" t="str">
        <f t="shared" si="399"/>
        <v>增加技能使用时的效果</v>
      </c>
      <c r="AD266" s="9" t="e">
        <f>IF(#REF!="","",#REF!)</f>
        <v>#REF!</v>
      </c>
      <c r="AE266" s="9" t="str">
        <f t="shared" ref="AE266:AO266" si="400">IF(AE96="","",AE96)</f>
        <v>增加技能使用时的效果</v>
      </c>
      <c r="AF266" s="9" t="str">
        <f t="shared" si="400"/>
        <v>增加技能使用时的效果</v>
      </c>
      <c r="AG266" s="9" t="str">
        <f t="shared" si="400"/>
        <v>增加技能使用时的效果</v>
      </c>
      <c r="AH266" s="9" t="str">
        <f t="shared" si="400"/>
        <v>增加技能使用时的效果</v>
      </c>
      <c r="AI266" s="9">
        <f t="shared" si="400"/>
        <v>1</v>
      </c>
      <c r="AJ266" s="9">
        <f t="shared" si="400"/>
        <v>2</v>
      </c>
      <c r="AK266" s="9">
        <f t="shared" si="400"/>
        <v>3</v>
      </c>
      <c r="AL266" s="9">
        <f t="shared" si="400"/>
        <v>4</v>
      </c>
      <c r="AM266" s="9">
        <f t="shared" si="400"/>
        <v>5</v>
      </c>
      <c r="AN266" s="9">
        <f t="shared" si="400"/>
        <v>6</v>
      </c>
      <c r="AO266" s="9">
        <f t="shared" si="400"/>
        <v>7</v>
      </c>
      <c r="AP266" s="37"/>
    </row>
    <row r="267" s="9" customFormat="1" spans="1:42">
      <c r="A267" s="29">
        <v>175006</v>
      </c>
      <c r="B267" s="33" t="s">
        <v>308</v>
      </c>
      <c r="C267" s="33" t="s">
        <v>308</v>
      </c>
      <c r="D267" s="9" t="str">
        <f>IF(D125="","",D125)</f>
        <v>龙宫门派绝技，召唤上古魔龙化身，掀起滔天魔浪，气海空虚之人无法抵抗这声势浩大的一击。</v>
      </c>
      <c r="E267" s="9">
        <f t="shared" ref="D267:G267" si="401">IF(E125="","",E125)</f>
        <v>56</v>
      </c>
      <c r="F267" s="9">
        <f t="shared" si="401"/>
        <v>120</v>
      </c>
      <c r="G267" s="9">
        <f t="shared" si="401"/>
        <v>0</v>
      </c>
      <c r="H267" s="9">
        <v>0</v>
      </c>
      <c r="I267" s="9" t="str">
        <f t="shared" ref="I267:L267" si="402">IF(I125="","",I125)</f>
        <v>消耗：$parameter1$愤怒</v>
      </c>
      <c r="J267" s="9">
        <f t="shared" si="402"/>
        <v>-1</v>
      </c>
      <c r="K267" s="9">
        <f t="shared" si="402"/>
        <v>0</v>
      </c>
      <c r="L267" s="9">
        <f t="shared" si="402"/>
        <v>0</v>
      </c>
      <c r="N267" s="9">
        <f t="shared" ref="N267:AO267" si="403">IF(N125="","",N125)</f>
        <v>480</v>
      </c>
      <c r="O267" s="9">
        <f t="shared" si="403"/>
        <v>1</v>
      </c>
      <c r="P267" s="9" t="str">
        <f t="shared" si="403"/>
        <v/>
      </c>
      <c r="Q267" s="9" t="str">
        <f t="shared" si="403"/>
        <v>龙宫门派绝技，召唤上古魔龙化身，掀起滔天魔浪，气海空虚之人无法抵抗这声势浩大的一击。</v>
      </c>
      <c r="R267" s="9" t="str">
        <f t="shared" si="403"/>
        <v>对敌方全体单位造成法术伤害，目标已损失魔法值越多，伤害越高。最高为龙卷雨击伤害的200％。</v>
      </c>
      <c r="S267" s="9">
        <f t="shared" si="403"/>
        <v>8</v>
      </c>
      <c r="T267" s="9" t="str">
        <f t="shared" si="403"/>
        <v>对敌方全体单位造成法术伤害，目标已损失魔法值越多，伤害越高。最高为龙卷雨击伤害的200％。</v>
      </c>
      <c r="U267" s="9" t="str">
        <f t="shared" si="403"/>
        <v>对敌方7个单位造成极端法术伤害，目标剩余的魔法值越少，伤害越高，最高为龙卷雨击伤害的200%。</v>
      </c>
      <c r="V267" s="9" t="str">
        <f t="shared" si="403"/>
        <v>对敌方7个单位造成极端法术伤害，目标剩余的魔法值越少，伤害越高，最高为龙卷雨击伤害的200%。</v>
      </c>
      <c r="W267" s="9" t="str">
        <f t="shared" si="403"/>
        <v>对敌方7个单位造成极端法术伤害，目标剩余的魔法值越少，伤害越高，最高为龙卷雨击伤害的260%。</v>
      </c>
      <c r="X267" s="9" t="str">
        <f t="shared" si="403"/>
        <v>对敌方全体单位造成法术伤害，目标已损失魔法值越多，伤害越高。最高为龙卷雨击伤害的200％。</v>
      </c>
      <c r="Y267" s="9" t="str">
        <f t="shared" si="403"/>
        <v>对敌方全体单位造成法术伤害，目标已损失魔法值越多，伤害越高。最高为龙卷雨击伤害的200％。</v>
      </c>
      <c r="Z267" s="9" t="str">
        <f t="shared" si="403"/>
        <v>对敌方全体单位造成法术伤害，目标已损失魔法值越多，伤害越高。最高为龙卷雨击伤害的200％。</v>
      </c>
      <c r="AA267" s="9" t="str">
        <f t="shared" si="403"/>
        <v>增加技能使用时的效果</v>
      </c>
      <c r="AB267" s="9" t="str">
        <f t="shared" si="403"/>
        <v>增加技能使用时的效果</v>
      </c>
      <c r="AC267" s="9" t="str">
        <f t="shared" si="403"/>
        <v>增加技能使用时的效果</v>
      </c>
      <c r="AD267" s="9" t="str">
        <f t="shared" si="403"/>
        <v>增加技能使用时的效果</v>
      </c>
      <c r="AE267" s="9" t="str">
        <f t="shared" si="403"/>
        <v>增加技能使用时的效果</v>
      </c>
      <c r="AF267" s="9" t="str">
        <f t="shared" si="403"/>
        <v>增加技能使用时的效果</v>
      </c>
      <c r="AG267" s="9" t="str">
        <f t="shared" si="403"/>
        <v>增加技能使用时的效果</v>
      </c>
      <c r="AH267" s="9" t="str">
        <f t="shared" si="403"/>
        <v>增加技能使用时的效果</v>
      </c>
      <c r="AI267" s="9">
        <f t="shared" si="403"/>
        <v>1</v>
      </c>
      <c r="AJ267" s="9">
        <f t="shared" si="403"/>
        <v>2</v>
      </c>
      <c r="AK267" s="9">
        <f t="shared" si="403"/>
        <v>3</v>
      </c>
      <c r="AL267" s="9">
        <f t="shared" si="403"/>
        <v>4</v>
      </c>
      <c r="AM267" s="9">
        <f t="shared" si="403"/>
        <v>5</v>
      </c>
      <c r="AN267" s="9">
        <f t="shared" si="403"/>
        <v>6</v>
      </c>
      <c r="AO267" s="9">
        <f t="shared" si="403"/>
        <v>7</v>
      </c>
      <c r="AP267" s="37"/>
    </row>
    <row r="268" s="9" customFormat="1" spans="1:42">
      <c r="A268" s="31">
        <v>176006</v>
      </c>
      <c r="B268" s="32" t="s">
        <v>364</v>
      </c>
      <c r="C268" s="32" t="s">
        <v>364</v>
      </c>
      <c r="D268" s="9" t="str">
        <f>IF(D154="","",D154)</f>
        <v>普陀山门派绝技。观世音以尘世为苦海，一慈悲救众生。曾发宏愿，让莲花开满人间。</v>
      </c>
      <c r="E268" s="9">
        <f t="shared" ref="D268:G268" si="404">IF(E154="","",E154)</f>
        <v>64</v>
      </c>
      <c r="F268" s="9">
        <f t="shared" si="404"/>
        <v>120</v>
      </c>
      <c r="G268" s="9">
        <f t="shared" si="404"/>
        <v>0</v>
      </c>
      <c r="H268" s="9">
        <v>0</v>
      </c>
      <c r="I268" s="9" t="str">
        <f t="shared" ref="I268:L268" si="405">IF(I154="","",I154)</f>
        <v>消耗：$parameter1$愤怒</v>
      </c>
      <c r="J268" s="9">
        <f t="shared" si="405"/>
        <v>-1</v>
      </c>
      <c r="K268" s="9">
        <f t="shared" si="405"/>
        <v>0</v>
      </c>
      <c r="L268" s="9">
        <f t="shared" si="405"/>
        <v>0</v>
      </c>
      <c r="N268" s="9">
        <f t="shared" ref="N268:AO268" si="406">IF(N154="","",N154)</f>
        <v>4127</v>
      </c>
      <c r="O268" s="9">
        <f t="shared" si="406"/>
        <v>1</v>
      </c>
      <c r="P268" s="9" t="str">
        <f t="shared" si="406"/>
        <v/>
      </c>
      <c r="Q268" s="9" t="str">
        <f t="shared" si="406"/>
        <v>&lt;T t="普陀山门派绝技。观世音以尘世为苦海，一慈悲救众生。曾发宏愿，让莲花开满人间。”" c="ffd729ea"&gt;&lt;/T&gt;</v>
      </c>
      <c r="R268" s="9" t="str">
        <f t="shared" si="406"/>
        <v>使全体队友在2回合内免疫1次死亡，濒死瞬间回复气血为气血上限的25%。使用后休息1回合。</v>
      </c>
      <c r="S268" s="9">
        <f t="shared" si="406"/>
        <v>8</v>
      </c>
      <c r="T268" s="9" t="str">
        <f t="shared" si="406"/>
        <v>使全体队友在2回合内免疫1次死亡，濒死瞬间回复气血为气血上限的25%。使用后休息1回合。</v>
      </c>
      <c r="U268" s="9" t="str">
        <f t="shared" si="406"/>
        <v>使全体队友在2回合内免疫1次死亡，濒死瞬间回复气血为气血上限的25%。使用后休息1回合。</v>
      </c>
      <c r="V268" s="9" t="str">
        <f t="shared" si="406"/>
        <v>使全体队友在2回合内免疫1次死亡，濒死瞬间回复气血为气血上限的25%。使用后休息1回合。</v>
      </c>
      <c r="W268" s="9" t="str">
        <f t="shared" si="406"/>
        <v>使全体队友在2回合内免疫1次死亡，濒死瞬间回复气血为气血上限的25%。使用后休息1回合。</v>
      </c>
      <c r="X268" s="9" t="str">
        <f t="shared" si="406"/>
        <v>使全体队友在2回合内免疫1次死亡，濒死瞬间回复气血为气血上限的25%。使用后休息1回合。</v>
      </c>
      <c r="Y268" s="9" t="str">
        <f t="shared" si="406"/>
        <v>使全体队友在2回合内免疫1次死亡，濒死瞬间回复气血为气血上限的25%。使用后休息1回合。</v>
      </c>
      <c r="Z268" s="9" t="str">
        <f t="shared" si="406"/>
        <v>使全体队友在2回合内免疫1次死亡，濒死瞬间回复气血为气血上限的25%。使用后休息1回合。</v>
      </c>
      <c r="AA268" s="9" t="str">
        <f t="shared" si="406"/>
        <v>增加技能使用时的效果</v>
      </c>
      <c r="AB268" s="9" t="str">
        <f t="shared" si="406"/>
        <v>增加技能使用时的效果</v>
      </c>
      <c r="AC268" s="9" t="str">
        <f t="shared" si="406"/>
        <v>增加技能使用时的效果</v>
      </c>
      <c r="AD268" s="9" t="str">
        <f t="shared" si="406"/>
        <v>增加技能使用时的效果</v>
      </c>
      <c r="AE268" s="9" t="str">
        <f t="shared" si="406"/>
        <v>增加技能使用时的效果</v>
      </c>
      <c r="AF268" s="9" t="str">
        <f t="shared" si="406"/>
        <v>增加技能使用时的效果</v>
      </c>
      <c r="AG268" s="9" t="str">
        <f t="shared" si="406"/>
        <v>增加技能使用时的效果</v>
      </c>
      <c r="AH268" s="9" t="str">
        <f t="shared" si="406"/>
        <v>增加技能使用时的效果</v>
      </c>
      <c r="AI268" s="9">
        <f t="shared" si="406"/>
        <v>1</v>
      </c>
      <c r="AJ268" s="9">
        <f t="shared" si="406"/>
        <v>2</v>
      </c>
      <c r="AK268" s="9">
        <f t="shared" si="406"/>
        <v>3</v>
      </c>
      <c r="AL268" s="9">
        <f t="shared" si="406"/>
        <v>4</v>
      </c>
      <c r="AM268" s="9">
        <f t="shared" si="406"/>
        <v>5</v>
      </c>
      <c r="AN268" s="9">
        <f t="shared" si="406"/>
        <v>6</v>
      </c>
      <c r="AO268" s="9">
        <f t="shared" si="406"/>
        <v>7</v>
      </c>
      <c r="AP268" s="37"/>
    </row>
    <row r="269" s="9" customFormat="1" spans="1:42">
      <c r="A269" s="31">
        <v>177006</v>
      </c>
      <c r="B269" s="30" t="s">
        <v>418</v>
      </c>
      <c r="C269" s="30" t="s">
        <v>418</v>
      </c>
      <c r="D269" s="9" t="str">
        <f>IF(D183="","",D183)</f>
        <v>魔王寨门派绝技，飞星流火，炎天炽地，以魔王之力摇天撼地，三界为之变色。</v>
      </c>
      <c r="E269" s="9">
        <f t="shared" ref="D269:G269" si="407">IF(E183="","",E183)</f>
        <v>72</v>
      </c>
      <c r="F269" s="9">
        <f t="shared" si="407"/>
        <v>120</v>
      </c>
      <c r="G269" s="9">
        <f t="shared" si="407"/>
        <v>0</v>
      </c>
      <c r="H269" s="9">
        <v>0</v>
      </c>
      <c r="I269" s="9" t="str">
        <f t="shared" ref="I269:L269" si="408">IF(I183="","",I183)</f>
        <v>消耗：$parameter1$愤怒</v>
      </c>
      <c r="J269" s="9">
        <f t="shared" si="408"/>
        <v>-1</v>
      </c>
      <c r="K269" s="9">
        <f t="shared" si="408"/>
        <v>0</v>
      </c>
      <c r="L269" s="9">
        <f t="shared" si="408"/>
        <v>0</v>
      </c>
      <c r="N269" s="9">
        <f t="shared" ref="N269:AO269" si="409">IF(N183="","",N183)</f>
        <v>480</v>
      </c>
      <c r="O269" s="9">
        <f t="shared" si="409"/>
        <v>1</v>
      </c>
      <c r="P269" s="9" t="str">
        <f t="shared" si="409"/>
        <v/>
      </c>
      <c r="Q269" s="9" t="str">
        <f t="shared" si="409"/>
        <v>魔王寨门派绝技，飞星流火，炎天炽地，以魔王之力摇天撼地，三界为之变色。</v>
      </c>
      <c r="R269" s="9" t="str">
        <f t="shared" si="409"/>
        <v>召唤朱雀离火随机攻击敌人，使用后休息一回合。</v>
      </c>
      <c r="S269" s="9">
        <f t="shared" si="409"/>
        <v>8</v>
      </c>
      <c r="T269" s="9" t="str">
        <f t="shared" si="409"/>
        <v>召唤朱雀离火随机攻击敌人，使用后休息一回合。</v>
      </c>
      <c r="U269" s="9" t="str">
        <f t="shared" si="409"/>
        <v>召唤朱雀离火随机攻击敌人，使用后休息一回合。</v>
      </c>
      <c r="V269" s="9" t="str">
        <f t="shared" si="409"/>
        <v>召唤朱雀离火随机攻击敌人，使用后休息一回合。</v>
      </c>
      <c r="W269" s="9" t="str">
        <f t="shared" si="409"/>
        <v>召唤朱雀离火随机攻击敌人，使用后休息一回合。</v>
      </c>
      <c r="X269" s="9" t="str">
        <f t="shared" si="409"/>
        <v>召唤朱雀离火随机攻击敌人，使用后休息一回合。</v>
      </c>
      <c r="Y269" s="9" t="str">
        <f t="shared" si="409"/>
        <v>召唤朱雀离火随机攻击敌人，使用后休息一回合。</v>
      </c>
      <c r="Z269" s="9" t="str">
        <f t="shared" si="409"/>
        <v>召唤朱雀离火随机攻击敌人，使用后休息一回合。</v>
      </c>
      <c r="AA269" s="9" t="str">
        <f t="shared" si="409"/>
        <v>增加技能使用时的效果</v>
      </c>
      <c r="AB269" s="9" t="str">
        <f t="shared" si="409"/>
        <v>增加技能使用时的效果</v>
      </c>
      <c r="AC269" s="9" t="str">
        <f t="shared" si="409"/>
        <v>增加技能使用时的效果</v>
      </c>
      <c r="AD269" s="9" t="str">
        <f t="shared" si="409"/>
        <v>增加技能使用时的效果</v>
      </c>
      <c r="AE269" s="9" t="str">
        <f t="shared" si="409"/>
        <v>增加技能使用时的效果</v>
      </c>
      <c r="AF269" s="9" t="str">
        <f t="shared" si="409"/>
        <v>增加技能使用时的效果</v>
      </c>
      <c r="AG269" s="9" t="str">
        <f t="shared" si="409"/>
        <v>增加技能使用时的效果</v>
      </c>
      <c r="AH269" s="9" t="str">
        <f t="shared" si="409"/>
        <v>增加技能使用时的效果</v>
      </c>
      <c r="AI269" s="9">
        <f t="shared" si="409"/>
        <v>1</v>
      </c>
      <c r="AJ269" s="9">
        <f t="shared" si="409"/>
        <v>2</v>
      </c>
      <c r="AK269" s="9">
        <f t="shared" si="409"/>
        <v>3</v>
      </c>
      <c r="AL269" s="9">
        <f t="shared" si="409"/>
        <v>4</v>
      </c>
      <c r="AM269" s="9">
        <f t="shared" si="409"/>
        <v>5</v>
      </c>
      <c r="AN269" s="9">
        <f t="shared" si="409"/>
        <v>6</v>
      </c>
      <c r="AO269" s="9">
        <f t="shared" si="409"/>
        <v>7</v>
      </c>
      <c r="AP269" s="37"/>
    </row>
    <row r="270" s="9" customFormat="1" spans="1:42">
      <c r="A270" s="31">
        <v>178006</v>
      </c>
      <c r="B270" s="30" t="s">
        <v>467</v>
      </c>
      <c r="C270" s="30" t="s">
        <v>467</v>
      </c>
      <c r="D270" s="9" t="str">
        <f>IF(D212="","",D212)</f>
        <v>月宫门派绝技。在时之月的清辉中展露凛冽的身姿，如雪亮的刃芒直刺四方，不负广寒清秋</v>
      </c>
      <c r="E270" s="9">
        <f t="shared" ref="D270:G270" si="410">IF(E212="","",E212)</f>
        <v>80</v>
      </c>
      <c r="F270" s="9">
        <f t="shared" si="410"/>
        <v>120</v>
      </c>
      <c r="G270" s="9">
        <f t="shared" si="410"/>
        <v>0</v>
      </c>
      <c r="H270" s="9">
        <v>0</v>
      </c>
      <c r="I270" s="9" t="str">
        <f t="shared" ref="I270:L270" si="411">IF(I212="","",I212)</f>
        <v>消耗：$parameter1$愤怒</v>
      </c>
      <c r="J270" s="9">
        <f t="shared" si="411"/>
        <v>-1</v>
      </c>
      <c r="K270" s="9">
        <f t="shared" si="411"/>
        <v>0</v>
      </c>
      <c r="L270" s="9">
        <f t="shared" si="411"/>
        <v>0</v>
      </c>
      <c r="N270" s="9">
        <f t="shared" ref="N270:AO270" si="412">IF(N212="","",N212)</f>
        <v>480</v>
      </c>
      <c r="O270" s="9">
        <f t="shared" si="412"/>
        <v>1</v>
      </c>
      <c r="P270" s="9" t="str">
        <f t="shared" si="412"/>
        <v/>
      </c>
      <c r="Q270" s="9" t="str">
        <f t="shared" si="412"/>
        <v>月宫门派绝技。在时之月的清辉中展露凛冽的身姿，如雪亮的刃芒直刺四方，不负广寒清秋</v>
      </c>
      <c r="R270" s="9" t="str">
        <f t="shared" si="412"/>
        <v>物理攻击7个敌方目标，有15%几率月凝目标。使用后休息一回合。</v>
      </c>
      <c r="S270" s="9">
        <f t="shared" si="412"/>
        <v>8</v>
      </c>
      <c r="T270" s="9" t="str">
        <f t="shared" si="412"/>
        <v>物理攻击7个敌方目标，有15%几率月凝目标。使用后休息一回合。</v>
      </c>
      <c r="U270" s="9" t="str">
        <f t="shared" si="412"/>
        <v>物理攻击7个敌方目标，有15%几率月凝目标。使用后休息一回合。</v>
      </c>
      <c r="V270" s="9" t="str">
        <f t="shared" si="412"/>
        <v>物理攻击7个敌方目标，有15%几率月凝目标。使用后休息一回合。</v>
      </c>
      <c r="W270" s="9" t="str">
        <f t="shared" si="412"/>
        <v>物理攻击7个敌方目标，有15%几率月凝目标。使用后休息一回合。</v>
      </c>
      <c r="X270" s="9" t="str">
        <f t="shared" si="412"/>
        <v>物理攻击7个敌方目标，有15%几率月凝目标。使用后休息一回合。</v>
      </c>
      <c r="Y270" s="9" t="str">
        <f t="shared" si="412"/>
        <v>物理攻击7个敌方目标，有15%几率月凝目标。使用后休息一回合。</v>
      </c>
      <c r="Z270" s="9" t="str">
        <f t="shared" si="412"/>
        <v>物理攻击7个敌方目标，有15%几率月凝目标。使用后休息一回合。</v>
      </c>
      <c r="AA270" s="9" t="str">
        <f t="shared" si="412"/>
        <v>增加技能使用时的效果</v>
      </c>
      <c r="AB270" s="9" t="str">
        <f t="shared" si="412"/>
        <v>增加技能使用时的效果</v>
      </c>
      <c r="AC270" s="9" t="str">
        <f t="shared" si="412"/>
        <v>增加技能使用时的效果</v>
      </c>
      <c r="AD270" s="9" t="str">
        <f t="shared" si="412"/>
        <v>增加技能使用时的效果</v>
      </c>
      <c r="AE270" s="9" t="str">
        <f t="shared" si="412"/>
        <v>增加技能使用时的效果</v>
      </c>
      <c r="AF270" s="9" t="str">
        <f t="shared" si="412"/>
        <v>增加技能使用时的效果</v>
      </c>
      <c r="AG270" s="9" t="str">
        <f t="shared" si="412"/>
        <v>增加技能使用时的效果</v>
      </c>
      <c r="AH270" s="9" t="str">
        <f t="shared" si="412"/>
        <v>增加技能使用时的效果</v>
      </c>
      <c r="AI270" s="9">
        <f t="shared" si="412"/>
        <v>1</v>
      </c>
      <c r="AJ270" s="9">
        <f t="shared" si="412"/>
        <v>2</v>
      </c>
      <c r="AK270" s="9">
        <f t="shared" si="412"/>
        <v>3</v>
      </c>
      <c r="AL270" s="9">
        <f t="shared" si="412"/>
        <v>4</v>
      </c>
      <c r="AM270" s="9">
        <f t="shared" si="412"/>
        <v>5</v>
      </c>
      <c r="AN270" s="9">
        <f t="shared" si="412"/>
        <v>6</v>
      </c>
      <c r="AO270" s="9">
        <f t="shared" si="412"/>
        <v>7</v>
      </c>
      <c r="AP270" s="37"/>
    </row>
    <row r="271" s="9" customFormat="1" spans="1:42">
      <c r="A271" s="31">
        <v>179006</v>
      </c>
      <c r="B271" s="30" t="s">
        <v>545</v>
      </c>
      <c r="C271" s="30" t="s">
        <v>545</v>
      </c>
      <c r="D271" s="9" t="str">
        <f>IF(D241="","",D241)</f>
        <v>化生寺门派绝技。在强大的佛法庇佑下，气入丹田六神相通，恢复到绝佳的状态。</v>
      </c>
      <c r="E271" s="9">
        <f t="shared" ref="D271:G271" si="413">IF(E241="","",E241)</f>
        <v>88</v>
      </c>
      <c r="F271" s="9">
        <f t="shared" si="413"/>
        <v>120</v>
      </c>
      <c r="G271" s="9">
        <f t="shared" si="413"/>
        <v>0</v>
      </c>
      <c r="H271" s="9">
        <v>0</v>
      </c>
      <c r="I271" s="9" t="str">
        <f t="shared" ref="I271:L271" si="414">IF(I241="","",I241)</f>
        <v>消耗：$parameter1$愤怒</v>
      </c>
      <c r="J271" s="9">
        <f t="shared" si="414"/>
        <v>-1</v>
      </c>
      <c r="K271" s="9">
        <f t="shared" si="414"/>
        <v>0</v>
      </c>
      <c r="L271" s="9">
        <f t="shared" si="414"/>
        <v>0</v>
      </c>
      <c r="N271" s="9">
        <f t="shared" ref="N271:AO271" si="415">IF(N241="","",N241)</f>
        <v>4127</v>
      </c>
      <c r="O271" s="9">
        <f t="shared" si="415"/>
        <v>1</v>
      </c>
      <c r="P271" s="9" t="str">
        <f t="shared" si="415"/>
        <v/>
      </c>
      <c r="Q271" s="9" t="str">
        <f t="shared" si="415"/>
        <v>化生寺门派绝技。在强大的佛法庇佑下，气入丹田六神相通，恢复到绝佳的状态。</v>
      </c>
      <c r="R271" s="9" t="str">
        <f t="shared" si="415"/>
        <v>回复1个友方目标大量气血并清除异常状态，无论目标是否倒地均可使用。使用后休息一回合。</v>
      </c>
      <c r="S271" s="9">
        <f t="shared" si="415"/>
        <v>8</v>
      </c>
      <c r="T271" s="9" t="str">
        <f t="shared" si="415"/>
        <v>回复1个友方目标大量气血并清除异常状态，无论目标是否倒地均可使用。使用后休息一回合。</v>
      </c>
      <c r="U271" s="9" t="str">
        <f t="shared" si="415"/>
        <v>回复1个友方目标大量气血并清除异常状态，无论目标是否倒地均可使用。使用后休息一回合。</v>
      </c>
      <c r="V271" s="9" t="str">
        <f t="shared" si="415"/>
        <v>回复1个友方目标大量气血并清除异常状态，无论目标是否倒地均可使用。使用后休息一回合。</v>
      </c>
      <c r="W271" s="9" t="str">
        <f t="shared" si="415"/>
        <v>回复1个友方目标大量气血并清除异常状态，无论目标是否倒地均可使用。使用后休息一回合。</v>
      </c>
      <c r="X271" s="9" t="str">
        <f t="shared" si="415"/>
        <v>回复1个友方目标大量气血并清除异常状态，无论目标是否倒地均可使用。使用后休息一回合。</v>
      </c>
      <c r="Y271" s="9" t="str">
        <f t="shared" si="415"/>
        <v>回复1个友方目标大量气血并清除异常状态，无论目标是否倒地均可使用。使用后休息一回合。</v>
      </c>
      <c r="Z271" s="9" t="str">
        <f t="shared" si="415"/>
        <v>回复1个友方目标大量气血并清除异常状态，无论目标是否倒地均可使用。使用后休息一回合。</v>
      </c>
      <c r="AA271" s="9" t="str">
        <f t="shared" si="415"/>
        <v>增加技能使用时的效果</v>
      </c>
      <c r="AB271" s="9" t="str">
        <f t="shared" si="415"/>
        <v>增加技能使用时的效果</v>
      </c>
      <c r="AC271" s="9" t="str">
        <f t="shared" si="415"/>
        <v>增加技能使用时的效果</v>
      </c>
      <c r="AD271" s="9" t="str">
        <f t="shared" si="415"/>
        <v>增加技能使用时的效果</v>
      </c>
      <c r="AE271" s="9" t="str">
        <f t="shared" si="415"/>
        <v>增加技能使用时的效果</v>
      </c>
      <c r="AF271" s="9" t="str">
        <f t="shared" si="415"/>
        <v>增加技能使用时的效果</v>
      </c>
      <c r="AG271" s="9" t="str">
        <f t="shared" si="415"/>
        <v>增加技能使用时的效果</v>
      </c>
      <c r="AH271" s="9" t="str">
        <f t="shared" si="415"/>
        <v>增加技能使用时的效果</v>
      </c>
      <c r="AI271" s="9">
        <f t="shared" si="415"/>
        <v>1</v>
      </c>
      <c r="AJ271" s="9">
        <f t="shared" si="415"/>
        <v>2</v>
      </c>
      <c r="AK271" s="9">
        <f t="shared" si="415"/>
        <v>3</v>
      </c>
      <c r="AL271" s="9">
        <f t="shared" si="415"/>
        <v>4</v>
      </c>
      <c r="AM271" s="9">
        <f t="shared" si="415"/>
        <v>5</v>
      </c>
      <c r="AN271" s="9">
        <f t="shared" si="415"/>
        <v>6</v>
      </c>
      <c r="AO271" s="9">
        <f t="shared" si="415"/>
        <v>7</v>
      </c>
      <c r="AP271" s="37"/>
    </row>
    <row r="272" s="9" customFormat="1" spans="1:41">
      <c r="A272" s="29">
        <v>180006</v>
      </c>
      <c r="B272" s="33" t="s">
        <v>546</v>
      </c>
      <c r="C272" s="33" t="s">
        <v>546</v>
      </c>
      <c r="D272" s="9" t="s">
        <v>547</v>
      </c>
      <c r="E272" s="9">
        <v>211</v>
      </c>
      <c r="F272" s="9">
        <v>120</v>
      </c>
      <c r="G272" s="9">
        <v>0</v>
      </c>
      <c r="H272" s="9">
        <v>0</v>
      </c>
      <c r="I272" s="9" t="s">
        <v>76</v>
      </c>
      <c r="J272" s="9">
        <v>-1</v>
      </c>
      <c r="K272" s="9">
        <v>0</v>
      </c>
      <c r="L272" s="9">
        <v>0</v>
      </c>
      <c r="N272" s="9">
        <v>480</v>
      </c>
      <c r="O272" s="9">
        <v>1</v>
      </c>
      <c r="P272" s="9" t="s">
        <v>548</v>
      </c>
      <c r="Q272" s="9" t="s">
        <v>547</v>
      </c>
      <c r="R272" s="9" t="s">
        <v>549</v>
      </c>
      <c r="S272" s="9">
        <v>8</v>
      </c>
      <c r="T272" s="9" t="s">
        <v>549</v>
      </c>
      <c r="U272" s="9" t="s">
        <v>549</v>
      </c>
      <c r="V272" s="9" t="s">
        <v>549</v>
      </c>
      <c r="W272" s="9" t="s">
        <v>549</v>
      </c>
      <c r="X272" s="9" t="s">
        <v>549</v>
      </c>
      <c r="Y272" s="9" t="s">
        <v>549</v>
      </c>
      <c r="Z272" s="9" t="s">
        <v>549</v>
      </c>
      <c r="AA272" s="9" t="s">
        <v>548</v>
      </c>
      <c r="AB272" s="9" t="s">
        <v>550</v>
      </c>
      <c r="AC272" s="9" t="s">
        <v>551</v>
      </c>
      <c r="AD272" s="9" t="s">
        <v>552</v>
      </c>
      <c r="AE272" s="9" t="s">
        <v>552</v>
      </c>
      <c r="AF272" s="9" t="s">
        <v>552</v>
      </c>
      <c r="AG272" s="9" t="s">
        <v>552</v>
      </c>
      <c r="AH272" s="9" t="s">
        <v>552</v>
      </c>
      <c r="AI272" s="9">
        <v>1</v>
      </c>
      <c r="AJ272" s="9">
        <v>2</v>
      </c>
      <c r="AK272" s="9">
        <v>3</v>
      </c>
      <c r="AL272" s="9">
        <v>4</v>
      </c>
      <c r="AM272" s="9">
        <v>5</v>
      </c>
      <c r="AN272" s="9">
        <v>6</v>
      </c>
      <c r="AO272" s="9">
        <v>7</v>
      </c>
    </row>
    <row r="273" s="9" customFormat="1" spans="1:41">
      <c r="A273" s="29">
        <v>180007</v>
      </c>
      <c r="B273" s="33" t="s">
        <v>553</v>
      </c>
      <c r="C273" s="33" t="s">
        <v>553</v>
      </c>
      <c r="D273" s="9" t="s">
        <v>554</v>
      </c>
      <c r="E273" s="9">
        <v>321</v>
      </c>
      <c r="F273" s="9">
        <v>120</v>
      </c>
      <c r="G273" s="9">
        <v>0</v>
      </c>
      <c r="H273" s="9">
        <v>0</v>
      </c>
      <c r="I273" s="9" t="s">
        <v>76</v>
      </c>
      <c r="J273" s="9">
        <v>-1</v>
      </c>
      <c r="K273" s="9">
        <v>0</v>
      </c>
      <c r="L273" s="9">
        <v>0</v>
      </c>
      <c r="N273" s="9">
        <v>480</v>
      </c>
      <c r="O273" s="9">
        <v>1</v>
      </c>
      <c r="P273" s="9" t="s">
        <v>548</v>
      </c>
      <c r="Q273" s="9" t="s">
        <v>554</v>
      </c>
      <c r="R273" s="9" t="s">
        <v>555</v>
      </c>
      <c r="S273" s="9">
        <v>8</v>
      </c>
      <c r="T273" s="9" t="s">
        <v>555</v>
      </c>
      <c r="U273" s="9" t="s">
        <v>555</v>
      </c>
      <c r="V273" s="9" t="s">
        <v>555</v>
      </c>
      <c r="W273" s="9" t="s">
        <v>555</v>
      </c>
      <c r="X273" s="9" t="s">
        <v>555</v>
      </c>
      <c r="Y273" s="9" t="s">
        <v>555</v>
      </c>
      <c r="Z273" s="9" t="s">
        <v>555</v>
      </c>
      <c r="AA273" s="9" t="s">
        <v>548</v>
      </c>
      <c r="AB273" s="9" t="s">
        <v>556</v>
      </c>
      <c r="AC273" s="9" t="s">
        <v>557</v>
      </c>
      <c r="AD273" s="9" t="s">
        <v>558</v>
      </c>
      <c r="AE273" s="9" t="s">
        <v>558</v>
      </c>
      <c r="AF273" s="9" t="s">
        <v>558</v>
      </c>
      <c r="AG273" s="9" t="s">
        <v>558</v>
      </c>
      <c r="AH273" s="9" t="s">
        <v>558</v>
      </c>
      <c r="AI273" s="9">
        <v>1</v>
      </c>
      <c r="AJ273" s="9">
        <v>2</v>
      </c>
      <c r="AK273" s="9">
        <v>3</v>
      </c>
      <c r="AL273" s="9">
        <v>4</v>
      </c>
      <c r="AM273" s="9">
        <v>5</v>
      </c>
      <c r="AN273" s="9">
        <v>6</v>
      </c>
      <c r="AO273" s="9">
        <v>7</v>
      </c>
    </row>
    <row r="274" s="9" customFormat="1" spans="1:41">
      <c r="A274" s="29">
        <v>180008</v>
      </c>
      <c r="B274" s="33" t="s">
        <v>559</v>
      </c>
      <c r="C274" s="33" t="s">
        <v>559</v>
      </c>
      <c r="D274" s="9" t="s">
        <v>560</v>
      </c>
      <c r="E274" s="9">
        <v>330</v>
      </c>
      <c r="F274" s="9">
        <v>120</v>
      </c>
      <c r="G274" s="9">
        <v>0</v>
      </c>
      <c r="H274" s="9">
        <v>0</v>
      </c>
      <c r="I274" s="9" t="s">
        <v>76</v>
      </c>
      <c r="J274" s="9">
        <v>-1</v>
      </c>
      <c r="K274" s="9">
        <v>0</v>
      </c>
      <c r="L274" s="9">
        <v>0</v>
      </c>
      <c r="N274" s="9">
        <v>480</v>
      </c>
      <c r="O274" s="9">
        <v>1</v>
      </c>
      <c r="P274" s="9" t="s">
        <v>548</v>
      </c>
      <c r="Q274" s="9" t="s">
        <v>560</v>
      </c>
      <c r="R274" s="9" t="s">
        <v>561</v>
      </c>
      <c r="S274" s="9">
        <v>8</v>
      </c>
      <c r="T274" s="9" t="s">
        <v>561</v>
      </c>
      <c r="U274" s="9" t="s">
        <v>561</v>
      </c>
      <c r="V274" s="9" t="s">
        <v>561</v>
      </c>
      <c r="W274" s="9" t="s">
        <v>561</v>
      </c>
      <c r="X274" s="9" t="s">
        <v>561</v>
      </c>
      <c r="Y274" s="9" t="s">
        <v>561</v>
      </c>
      <c r="Z274" s="9" t="s">
        <v>561</v>
      </c>
      <c r="AA274" s="9" t="s">
        <v>548</v>
      </c>
      <c r="AB274" s="9" t="s">
        <v>562</v>
      </c>
      <c r="AC274" s="9" t="s">
        <v>563</v>
      </c>
      <c r="AD274" s="9" t="s">
        <v>564</v>
      </c>
      <c r="AE274" s="9" t="s">
        <v>564</v>
      </c>
      <c r="AF274" s="9" t="s">
        <v>564</v>
      </c>
      <c r="AG274" s="9" t="s">
        <v>564</v>
      </c>
      <c r="AH274" s="9" t="s">
        <v>564</v>
      </c>
      <c r="AI274" s="9">
        <v>1</v>
      </c>
      <c r="AJ274" s="9">
        <v>2</v>
      </c>
      <c r="AK274" s="9">
        <v>3</v>
      </c>
      <c r="AL274" s="9">
        <v>4</v>
      </c>
      <c r="AM274" s="9">
        <v>5</v>
      </c>
      <c r="AN274" s="9">
        <v>6</v>
      </c>
      <c r="AO274" s="9">
        <v>7</v>
      </c>
    </row>
    <row r="275" s="9" customFormat="1" spans="1:41">
      <c r="A275" s="29">
        <v>180009</v>
      </c>
      <c r="B275" s="33" t="s">
        <v>565</v>
      </c>
      <c r="C275" s="33" t="s">
        <v>565</v>
      </c>
      <c r="D275" s="9" t="s">
        <v>547</v>
      </c>
      <c r="E275" s="9">
        <v>211</v>
      </c>
      <c r="F275" s="9">
        <v>120</v>
      </c>
      <c r="G275" s="9">
        <v>0</v>
      </c>
      <c r="H275" s="9">
        <v>0</v>
      </c>
      <c r="I275" s="9" t="s">
        <v>76</v>
      </c>
      <c r="J275" s="9">
        <v>-1</v>
      </c>
      <c r="K275" s="9">
        <v>0</v>
      </c>
      <c r="L275" s="9">
        <v>0</v>
      </c>
      <c r="N275" s="9">
        <v>480</v>
      </c>
      <c r="O275" s="9">
        <v>1</v>
      </c>
      <c r="P275" s="9" t="s">
        <v>548</v>
      </c>
      <c r="Q275" s="9" t="s">
        <v>547</v>
      </c>
      <c r="R275" s="9" t="s">
        <v>549</v>
      </c>
      <c r="S275" s="9">
        <v>8</v>
      </c>
      <c r="T275" s="9" t="s">
        <v>549</v>
      </c>
      <c r="U275" s="9" t="s">
        <v>549</v>
      </c>
      <c r="V275" s="9" t="s">
        <v>549</v>
      </c>
      <c r="W275" s="9" t="s">
        <v>549</v>
      </c>
      <c r="X275" s="9" t="s">
        <v>549</v>
      </c>
      <c r="Y275" s="9" t="s">
        <v>549</v>
      </c>
      <c r="Z275" s="9" t="s">
        <v>549</v>
      </c>
      <c r="AA275" s="9" t="s">
        <v>548</v>
      </c>
      <c r="AB275" s="9" t="s">
        <v>550</v>
      </c>
      <c r="AC275" s="9" t="s">
        <v>551</v>
      </c>
      <c r="AD275" s="9" t="s">
        <v>552</v>
      </c>
      <c r="AE275" s="9" t="s">
        <v>552</v>
      </c>
      <c r="AF275" s="9" t="s">
        <v>552</v>
      </c>
      <c r="AG275" s="9" t="s">
        <v>552</v>
      </c>
      <c r="AH275" s="9" t="s">
        <v>552</v>
      </c>
      <c r="AI275" s="9">
        <v>1</v>
      </c>
      <c r="AJ275" s="9">
        <v>2</v>
      </c>
      <c r="AK275" s="9">
        <v>3</v>
      </c>
      <c r="AL275" s="9">
        <v>4</v>
      </c>
      <c r="AM275" s="9">
        <v>5</v>
      </c>
      <c r="AN275" s="9">
        <v>6</v>
      </c>
      <c r="AO275" s="9">
        <v>7</v>
      </c>
    </row>
    <row r="276" s="9" customFormat="1" spans="1:41">
      <c r="A276" s="29">
        <v>180010</v>
      </c>
      <c r="B276" s="33" t="s">
        <v>566</v>
      </c>
      <c r="C276" s="33" t="s">
        <v>566</v>
      </c>
      <c r="D276" s="9" t="s">
        <v>554</v>
      </c>
      <c r="E276" s="9">
        <v>321</v>
      </c>
      <c r="F276" s="9">
        <v>120</v>
      </c>
      <c r="G276" s="9">
        <v>0</v>
      </c>
      <c r="H276" s="9">
        <v>0</v>
      </c>
      <c r="I276" s="9" t="s">
        <v>76</v>
      </c>
      <c r="J276" s="9">
        <v>-1</v>
      </c>
      <c r="K276" s="9">
        <v>0</v>
      </c>
      <c r="L276" s="9">
        <v>0</v>
      </c>
      <c r="N276" s="9">
        <v>480</v>
      </c>
      <c r="O276" s="9">
        <v>1</v>
      </c>
      <c r="P276" s="9" t="s">
        <v>548</v>
      </c>
      <c r="Q276" s="9" t="s">
        <v>554</v>
      </c>
      <c r="R276" s="9" t="s">
        <v>555</v>
      </c>
      <c r="S276" s="9">
        <v>8</v>
      </c>
      <c r="T276" s="9" t="s">
        <v>555</v>
      </c>
      <c r="U276" s="9" t="s">
        <v>555</v>
      </c>
      <c r="V276" s="9" t="s">
        <v>555</v>
      </c>
      <c r="W276" s="9" t="s">
        <v>555</v>
      </c>
      <c r="X276" s="9" t="s">
        <v>555</v>
      </c>
      <c r="Y276" s="9" t="s">
        <v>555</v>
      </c>
      <c r="Z276" s="9" t="s">
        <v>555</v>
      </c>
      <c r="AA276" s="9" t="s">
        <v>548</v>
      </c>
      <c r="AB276" s="9" t="s">
        <v>556</v>
      </c>
      <c r="AC276" s="9" t="s">
        <v>557</v>
      </c>
      <c r="AD276" s="9" t="s">
        <v>558</v>
      </c>
      <c r="AE276" s="9" t="s">
        <v>558</v>
      </c>
      <c r="AF276" s="9" t="s">
        <v>558</v>
      </c>
      <c r="AG276" s="9" t="s">
        <v>558</v>
      </c>
      <c r="AH276" s="9" t="s">
        <v>558</v>
      </c>
      <c r="AI276" s="9">
        <v>1</v>
      </c>
      <c r="AJ276" s="9">
        <v>2</v>
      </c>
      <c r="AK276" s="9">
        <v>3</v>
      </c>
      <c r="AL276" s="9">
        <v>4</v>
      </c>
      <c r="AM276" s="9">
        <v>5</v>
      </c>
      <c r="AN276" s="9">
        <v>6</v>
      </c>
      <c r="AO276" s="9">
        <v>7</v>
      </c>
    </row>
    <row r="277" s="9" customFormat="1" spans="1:41">
      <c r="A277" s="29">
        <v>180011</v>
      </c>
      <c r="B277" s="33" t="s">
        <v>567</v>
      </c>
      <c r="C277" s="33" t="s">
        <v>567</v>
      </c>
      <c r="D277" s="9" t="s">
        <v>560</v>
      </c>
      <c r="E277" s="9">
        <v>330</v>
      </c>
      <c r="F277" s="9">
        <v>120</v>
      </c>
      <c r="G277" s="9">
        <v>0</v>
      </c>
      <c r="H277" s="9">
        <v>0</v>
      </c>
      <c r="I277" s="9" t="s">
        <v>76</v>
      </c>
      <c r="J277" s="9">
        <v>-1</v>
      </c>
      <c r="K277" s="9">
        <v>0</v>
      </c>
      <c r="L277" s="9">
        <v>0</v>
      </c>
      <c r="N277" s="9">
        <v>480</v>
      </c>
      <c r="O277" s="9">
        <v>1</v>
      </c>
      <c r="P277" s="9" t="s">
        <v>548</v>
      </c>
      <c r="Q277" s="9" t="s">
        <v>560</v>
      </c>
      <c r="R277" s="9" t="s">
        <v>561</v>
      </c>
      <c r="S277" s="9">
        <v>8</v>
      </c>
      <c r="T277" s="9" t="s">
        <v>561</v>
      </c>
      <c r="U277" s="9" t="s">
        <v>561</v>
      </c>
      <c r="V277" s="9" t="s">
        <v>561</v>
      </c>
      <c r="W277" s="9" t="s">
        <v>561</v>
      </c>
      <c r="X277" s="9" t="s">
        <v>561</v>
      </c>
      <c r="Y277" s="9" t="s">
        <v>561</v>
      </c>
      <c r="Z277" s="9" t="s">
        <v>561</v>
      </c>
      <c r="AA277" s="9" t="s">
        <v>548</v>
      </c>
      <c r="AB277" s="9" t="s">
        <v>562</v>
      </c>
      <c r="AC277" s="9" t="s">
        <v>563</v>
      </c>
      <c r="AD277" s="9" t="s">
        <v>564</v>
      </c>
      <c r="AE277" s="9" t="s">
        <v>564</v>
      </c>
      <c r="AF277" s="9" t="s">
        <v>564</v>
      </c>
      <c r="AG277" s="9" t="s">
        <v>564</v>
      </c>
      <c r="AH277" s="9" t="s">
        <v>564</v>
      </c>
      <c r="AI277" s="9">
        <v>1</v>
      </c>
      <c r="AJ277" s="9">
        <v>2</v>
      </c>
      <c r="AK277" s="9">
        <v>3</v>
      </c>
      <c r="AL277" s="9">
        <v>4</v>
      </c>
      <c r="AM277" s="9">
        <v>5</v>
      </c>
      <c r="AN277" s="9">
        <v>6</v>
      </c>
      <c r="AO277" s="9">
        <v>7</v>
      </c>
    </row>
    <row r="278" spans="1:52">
      <c r="A278" s="34">
        <v>165000</v>
      </c>
      <c r="B278" s="34" t="s">
        <v>568</v>
      </c>
      <c r="C278" s="34" t="s">
        <v>568</v>
      </c>
      <c r="D278" s="34" t="s">
        <v>569</v>
      </c>
      <c r="E278" s="34">
        <v>101</v>
      </c>
      <c r="F278" s="34">
        <v>-1</v>
      </c>
      <c r="G278" s="34">
        <v>0</v>
      </c>
      <c r="H278" s="34">
        <v>0</v>
      </c>
      <c r="I278" s="34" t="s">
        <v>43</v>
      </c>
      <c r="J278" s="34">
        <v>-1</v>
      </c>
      <c r="K278" s="34">
        <v>0</v>
      </c>
      <c r="L278" s="34">
        <v>0</v>
      </c>
      <c r="M278" s="34"/>
      <c r="N278" s="34">
        <v>1</v>
      </c>
      <c r="O278" s="34">
        <v>1</v>
      </c>
      <c r="P278" s="34"/>
      <c r="Q278" s="34" t="s">
        <v>569</v>
      </c>
      <c r="R278" s="34" t="s">
        <v>569</v>
      </c>
      <c r="S278" s="34">
        <v>1</v>
      </c>
      <c r="T278" s="34" t="s">
        <v>570</v>
      </c>
      <c r="U278" s="34" t="s">
        <v>570</v>
      </c>
      <c r="V278" s="34" t="s">
        <v>570</v>
      </c>
      <c r="W278" s="34" t="s">
        <v>570</v>
      </c>
      <c r="X278" s="34" t="s">
        <v>570</v>
      </c>
      <c r="Y278" s="34" t="s">
        <v>570</v>
      </c>
      <c r="Z278" s="34" t="s">
        <v>570</v>
      </c>
      <c r="AA278" s="34" t="s">
        <v>571</v>
      </c>
      <c r="AB278" s="34" t="s">
        <v>571</v>
      </c>
      <c r="AC278" s="34" t="s">
        <v>571</v>
      </c>
      <c r="AD278" s="34" t="s">
        <v>571</v>
      </c>
      <c r="AE278" s="34" t="s">
        <v>571</v>
      </c>
      <c r="AF278" s="34" t="s">
        <v>571</v>
      </c>
      <c r="AG278" s="34" t="s">
        <v>571</v>
      </c>
      <c r="AH278" s="34" t="s">
        <v>571</v>
      </c>
      <c r="AI278" s="34">
        <v>1</v>
      </c>
      <c r="AJ278" s="34">
        <v>200</v>
      </c>
      <c r="AK278" s="34">
        <v>200</v>
      </c>
      <c r="AL278" s="34">
        <v>200</v>
      </c>
      <c r="AM278" s="34">
        <v>200</v>
      </c>
      <c r="AN278" s="34">
        <v>200</v>
      </c>
      <c r="AO278" s="34">
        <v>200</v>
      </c>
      <c r="AP278" s="38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</row>
    <row r="279" spans="1:52">
      <c r="A279" s="34">
        <v>165001</v>
      </c>
      <c r="B279" s="34" t="s">
        <v>572</v>
      </c>
      <c r="C279" s="34" t="s">
        <v>572</v>
      </c>
      <c r="D279" s="34" t="s">
        <v>573</v>
      </c>
      <c r="E279" s="34">
        <v>106</v>
      </c>
      <c r="F279" s="34">
        <v>100</v>
      </c>
      <c r="G279" s="34">
        <v>1.2</v>
      </c>
      <c r="H279" s="34">
        <v>10</v>
      </c>
      <c r="I279" s="34" t="s">
        <v>49</v>
      </c>
      <c r="J279" s="34">
        <v>-1</v>
      </c>
      <c r="K279" s="34">
        <v>0</v>
      </c>
      <c r="L279" s="34">
        <v>0</v>
      </c>
      <c r="M279" s="34"/>
      <c r="N279" s="34">
        <v>480</v>
      </c>
      <c r="O279" s="34">
        <v>1</v>
      </c>
      <c r="P279" s="34"/>
      <c r="Q279" s="34" t="s">
        <v>573</v>
      </c>
      <c r="R279" s="34" t="s">
        <v>573</v>
      </c>
      <c r="S279" s="34">
        <v>2</v>
      </c>
      <c r="T279" s="34" t="s">
        <v>574</v>
      </c>
      <c r="U279" s="34" t="s">
        <v>574</v>
      </c>
      <c r="V279" s="34" t="s">
        <v>574</v>
      </c>
      <c r="W279" s="34" t="s">
        <v>574</v>
      </c>
      <c r="X279" s="34" t="s">
        <v>574</v>
      </c>
      <c r="Y279" s="34" t="s">
        <v>574</v>
      </c>
      <c r="Z279" s="34" t="s">
        <v>574</v>
      </c>
      <c r="AA279" s="34" t="s">
        <v>575</v>
      </c>
      <c r="AB279" s="34" t="s">
        <v>575</v>
      </c>
      <c r="AC279" s="34" t="s">
        <v>575</v>
      </c>
      <c r="AD279" s="34" t="s">
        <v>575</v>
      </c>
      <c r="AE279" s="34" t="s">
        <v>575</v>
      </c>
      <c r="AF279" s="34" t="s">
        <v>575</v>
      </c>
      <c r="AG279" s="34" t="s">
        <v>575</v>
      </c>
      <c r="AH279" s="34" t="s">
        <v>575</v>
      </c>
      <c r="AI279" s="34">
        <v>1</v>
      </c>
      <c r="AJ279" s="34">
        <v>40</v>
      </c>
      <c r="AK279" s="34">
        <v>70</v>
      </c>
      <c r="AL279" s="34">
        <v>200</v>
      </c>
      <c r="AM279" s="34">
        <v>200</v>
      </c>
      <c r="AN279" s="34">
        <v>200</v>
      </c>
      <c r="AO279" s="34">
        <v>200</v>
      </c>
      <c r="AP279" s="38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</row>
    <row r="280" spans="1:41">
      <c r="A280" s="34">
        <v>165002</v>
      </c>
      <c r="B280" s="34" t="s">
        <v>576</v>
      </c>
      <c r="C280" s="34" t="s">
        <v>576</v>
      </c>
      <c r="D280" s="34" t="s">
        <v>577</v>
      </c>
      <c r="E280" s="34">
        <v>104</v>
      </c>
      <c r="F280" s="34">
        <v>100</v>
      </c>
      <c r="G280" s="34">
        <v>1.2</v>
      </c>
      <c r="H280" s="34">
        <v>10</v>
      </c>
      <c r="I280" s="34" t="s">
        <v>49</v>
      </c>
      <c r="J280" s="34">
        <v>-1</v>
      </c>
      <c r="K280" s="34">
        <v>0</v>
      </c>
      <c r="L280" s="34">
        <v>0</v>
      </c>
      <c r="M280" s="34"/>
      <c r="N280" s="34">
        <v>480</v>
      </c>
      <c r="O280" s="34">
        <v>1</v>
      </c>
      <c r="P280" s="34"/>
      <c r="Q280" s="34" t="s">
        <v>577</v>
      </c>
      <c r="R280" s="34" t="s">
        <v>577</v>
      </c>
      <c r="S280" s="34">
        <v>3</v>
      </c>
      <c r="T280" s="34" t="s">
        <v>578</v>
      </c>
      <c r="U280" s="34" t="s">
        <v>578</v>
      </c>
      <c r="V280" s="34" t="s">
        <v>578</v>
      </c>
      <c r="W280" s="34" t="s">
        <v>578</v>
      </c>
      <c r="X280" s="34" t="s">
        <v>578</v>
      </c>
      <c r="Y280" s="34" t="s">
        <v>578</v>
      </c>
      <c r="Z280" s="34" t="s">
        <v>578</v>
      </c>
      <c r="AA280" s="34" t="s">
        <v>579</v>
      </c>
      <c r="AB280" s="34" t="s">
        <v>579</v>
      </c>
      <c r="AC280" s="34" t="s">
        <v>579</v>
      </c>
      <c r="AD280" s="34" t="s">
        <v>579</v>
      </c>
      <c r="AE280" s="34" t="s">
        <v>579</v>
      </c>
      <c r="AF280" s="34" t="s">
        <v>579</v>
      </c>
      <c r="AG280" s="34" t="s">
        <v>579</v>
      </c>
      <c r="AH280" s="34" t="s">
        <v>579</v>
      </c>
      <c r="AI280" s="34">
        <v>1</v>
      </c>
      <c r="AJ280" s="34">
        <v>60</v>
      </c>
      <c r="AK280" s="34">
        <v>200</v>
      </c>
      <c r="AL280" s="34">
        <v>200</v>
      </c>
      <c r="AM280" s="34">
        <v>200</v>
      </c>
      <c r="AN280" s="34">
        <v>200</v>
      </c>
      <c r="AO280" s="34">
        <v>200</v>
      </c>
    </row>
    <row r="281" spans="1:41">
      <c r="A281" s="34">
        <v>165003</v>
      </c>
      <c r="B281" s="34" t="s">
        <v>580</v>
      </c>
      <c r="C281" s="34" t="s">
        <v>580</v>
      </c>
      <c r="D281" s="34" t="s">
        <v>581</v>
      </c>
      <c r="E281" s="34">
        <v>100</v>
      </c>
      <c r="F281" s="34">
        <v>100</v>
      </c>
      <c r="G281" s="34">
        <v>0</v>
      </c>
      <c r="H281" s="34">
        <v>10</v>
      </c>
      <c r="I281" s="34" t="s">
        <v>582</v>
      </c>
      <c r="J281" s="34">
        <v>-1</v>
      </c>
      <c r="K281" s="34">
        <v>0</v>
      </c>
      <c r="L281" s="34">
        <v>0</v>
      </c>
      <c r="M281" s="34"/>
      <c r="N281" s="34">
        <v>480</v>
      </c>
      <c r="O281" s="34">
        <v>1</v>
      </c>
      <c r="P281" s="34"/>
      <c r="Q281" s="34" t="s">
        <v>581</v>
      </c>
      <c r="R281" s="34" t="s">
        <v>581</v>
      </c>
      <c r="S281" s="34">
        <v>4</v>
      </c>
      <c r="T281" s="34" t="s">
        <v>583</v>
      </c>
      <c r="U281" s="34" t="s">
        <v>583</v>
      </c>
      <c r="V281" s="34" t="s">
        <v>583</v>
      </c>
      <c r="W281" s="34" t="s">
        <v>583</v>
      </c>
      <c r="X281" s="34" t="s">
        <v>583</v>
      </c>
      <c r="Y281" s="34" t="s">
        <v>583</v>
      </c>
      <c r="Z281" s="34" t="s">
        <v>583</v>
      </c>
      <c r="AA281" s="34" t="s">
        <v>584</v>
      </c>
      <c r="AB281" s="34" t="s">
        <v>584</v>
      </c>
      <c r="AC281" s="34" t="s">
        <v>584</v>
      </c>
      <c r="AD281" s="34" t="s">
        <v>584</v>
      </c>
      <c r="AE281" s="34" t="s">
        <v>584</v>
      </c>
      <c r="AF281" s="34" t="s">
        <v>584</v>
      </c>
      <c r="AG281" s="34" t="s">
        <v>584</v>
      </c>
      <c r="AH281" s="34" t="s">
        <v>584</v>
      </c>
      <c r="AI281" s="34">
        <v>1</v>
      </c>
      <c r="AJ281" s="34">
        <v>200</v>
      </c>
      <c r="AK281" s="34">
        <v>200</v>
      </c>
      <c r="AL281" s="34">
        <v>200</v>
      </c>
      <c r="AM281" s="34">
        <v>200</v>
      </c>
      <c r="AN281" s="34">
        <v>200</v>
      </c>
      <c r="AO281" s="34">
        <v>200</v>
      </c>
    </row>
    <row r="282" spans="1:41">
      <c r="A282" s="34">
        <v>165004</v>
      </c>
      <c r="B282" s="34" t="s">
        <v>585</v>
      </c>
      <c r="C282" s="34" t="s">
        <v>585</v>
      </c>
      <c r="D282" s="34" t="s">
        <v>586</v>
      </c>
      <c r="E282" s="34">
        <v>102</v>
      </c>
      <c r="F282" s="34">
        <v>100</v>
      </c>
      <c r="G282" s="34">
        <v>1.2</v>
      </c>
      <c r="H282" s="34">
        <v>10</v>
      </c>
      <c r="I282" s="34" t="s">
        <v>49</v>
      </c>
      <c r="J282" s="34">
        <v>-1</v>
      </c>
      <c r="K282" s="34">
        <v>0</v>
      </c>
      <c r="L282" s="34">
        <v>0</v>
      </c>
      <c r="M282" s="34"/>
      <c r="N282" s="34">
        <v>4127</v>
      </c>
      <c r="O282" s="34">
        <v>1</v>
      </c>
      <c r="P282" s="34"/>
      <c r="Q282" s="34" t="s">
        <v>586</v>
      </c>
      <c r="R282" s="34" t="s">
        <v>586</v>
      </c>
      <c r="S282" s="34">
        <v>5</v>
      </c>
      <c r="T282" s="34" t="s">
        <v>587</v>
      </c>
      <c r="U282" s="34" t="s">
        <v>587</v>
      </c>
      <c r="V282" s="34" t="s">
        <v>587</v>
      </c>
      <c r="W282" s="34" t="s">
        <v>587</v>
      </c>
      <c r="X282" s="34" t="s">
        <v>587</v>
      </c>
      <c r="Y282" s="34" t="s">
        <v>587</v>
      </c>
      <c r="Z282" s="34" t="s">
        <v>587</v>
      </c>
      <c r="AA282" s="34" t="s">
        <v>588</v>
      </c>
      <c r="AB282" s="34" t="s">
        <v>588</v>
      </c>
      <c r="AC282" s="34" t="s">
        <v>588</v>
      </c>
      <c r="AD282" s="34" t="s">
        <v>588</v>
      </c>
      <c r="AE282" s="34" t="s">
        <v>588</v>
      </c>
      <c r="AF282" s="34" t="s">
        <v>588</v>
      </c>
      <c r="AG282" s="34" t="s">
        <v>588</v>
      </c>
      <c r="AH282" s="34" t="s">
        <v>588</v>
      </c>
      <c r="AI282" s="34">
        <v>1</v>
      </c>
      <c r="AJ282" s="34">
        <v>200</v>
      </c>
      <c r="AK282" s="34">
        <v>200</v>
      </c>
      <c r="AL282" s="34">
        <v>200</v>
      </c>
      <c r="AM282" s="34">
        <v>200</v>
      </c>
      <c r="AN282" s="34">
        <v>200</v>
      </c>
      <c r="AO282" s="34">
        <v>200</v>
      </c>
    </row>
    <row r="283" spans="1:41">
      <c r="A283" s="34">
        <v>165005</v>
      </c>
      <c r="B283" s="34" t="s">
        <v>589</v>
      </c>
      <c r="C283" s="34" t="s">
        <v>589</v>
      </c>
      <c r="D283" s="34" t="s">
        <v>590</v>
      </c>
      <c r="E283" s="34">
        <v>99</v>
      </c>
      <c r="F283" s="34">
        <v>100</v>
      </c>
      <c r="G283" s="34">
        <v>1.2</v>
      </c>
      <c r="H283" s="34">
        <v>10</v>
      </c>
      <c r="I283" s="34" t="s">
        <v>49</v>
      </c>
      <c r="J283" s="34">
        <v>-1</v>
      </c>
      <c r="K283" s="34">
        <v>0</v>
      </c>
      <c r="L283" s="34">
        <v>0</v>
      </c>
      <c r="M283" s="34"/>
      <c r="N283" s="34">
        <v>1</v>
      </c>
      <c r="O283" s="34">
        <v>1</v>
      </c>
      <c r="P283" s="34"/>
      <c r="Q283" s="34" t="s">
        <v>590</v>
      </c>
      <c r="R283" s="34" t="s">
        <v>590</v>
      </c>
      <c r="S283" s="34">
        <v>6</v>
      </c>
      <c r="T283" s="34" t="s">
        <v>591</v>
      </c>
      <c r="U283" s="34" t="s">
        <v>591</v>
      </c>
      <c r="V283" s="34" t="s">
        <v>591</v>
      </c>
      <c r="W283" s="34" t="s">
        <v>591</v>
      </c>
      <c r="X283" s="34" t="s">
        <v>591</v>
      </c>
      <c r="Y283" s="34" t="s">
        <v>591</v>
      </c>
      <c r="Z283" s="34" t="s">
        <v>591</v>
      </c>
      <c r="AA283" s="34" t="s">
        <v>592</v>
      </c>
      <c r="AB283" s="34" t="s">
        <v>592</v>
      </c>
      <c r="AC283" s="34" t="s">
        <v>592</v>
      </c>
      <c r="AD283" s="34" t="s">
        <v>592</v>
      </c>
      <c r="AE283" s="34" t="s">
        <v>592</v>
      </c>
      <c r="AF283" s="34" t="s">
        <v>592</v>
      </c>
      <c r="AG283" s="34" t="s">
        <v>592</v>
      </c>
      <c r="AH283" s="34" t="s">
        <v>592</v>
      </c>
      <c r="AI283" s="34">
        <v>1</v>
      </c>
      <c r="AJ283" s="34">
        <v>60</v>
      </c>
      <c r="AK283" s="34">
        <v>200</v>
      </c>
      <c r="AL283" s="34">
        <v>200</v>
      </c>
      <c r="AM283" s="34">
        <v>200</v>
      </c>
      <c r="AN283" s="34">
        <v>200</v>
      </c>
      <c r="AO283" s="34">
        <v>200</v>
      </c>
    </row>
    <row r="284" spans="1:41">
      <c r="A284" s="34">
        <v>165006</v>
      </c>
      <c r="B284" s="34" t="s">
        <v>593</v>
      </c>
      <c r="C284" s="34" t="s">
        <v>593</v>
      </c>
      <c r="D284" s="34" t="s">
        <v>594</v>
      </c>
      <c r="E284" s="34">
        <v>103</v>
      </c>
      <c r="F284" s="34">
        <v>-1</v>
      </c>
      <c r="G284" s="34">
        <v>0.667</v>
      </c>
      <c r="H284" s="34">
        <v>6</v>
      </c>
      <c r="I284" s="34" t="s">
        <v>71</v>
      </c>
      <c r="J284" s="34">
        <v>-1</v>
      </c>
      <c r="K284" s="34">
        <v>0</v>
      </c>
      <c r="L284" s="34">
        <v>0</v>
      </c>
      <c r="M284" s="34"/>
      <c r="N284" s="34">
        <v>1</v>
      </c>
      <c r="O284" s="34">
        <v>1</v>
      </c>
      <c r="P284" s="34"/>
      <c r="Q284" s="34" t="s">
        <v>594</v>
      </c>
      <c r="R284" s="34" t="s">
        <v>594</v>
      </c>
      <c r="S284" s="34">
        <v>7</v>
      </c>
      <c r="T284" s="34" t="s">
        <v>595</v>
      </c>
      <c r="U284" s="34" t="s">
        <v>595</v>
      </c>
      <c r="V284" s="34" t="s">
        <v>595</v>
      </c>
      <c r="W284" s="34" t="s">
        <v>595</v>
      </c>
      <c r="X284" s="34" t="s">
        <v>595</v>
      </c>
      <c r="Y284" s="34" t="s">
        <v>595</v>
      </c>
      <c r="Z284" s="34" t="s">
        <v>595</v>
      </c>
      <c r="AA284" s="34" t="s">
        <v>596</v>
      </c>
      <c r="AB284" s="34" t="s">
        <v>596</v>
      </c>
      <c r="AC284" s="34" t="s">
        <v>596</v>
      </c>
      <c r="AD284" s="34" t="s">
        <v>596</v>
      </c>
      <c r="AE284" s="34" t="s">
        <v>596</v>
      </c>
      <c r="AF284" s="34" t="s">
        <v>596</v>
      </c>
      <c r="AG284" s="34" t="s">
        <v>596</v>
      </c>
      <c r="AH284" s="34" t="s">
        <v>596</v>
      </c>
      <c r="AI284" s="34">
        <v>1</v>
      </c>
      <c r="AJ284" s="34">
        <v>200</v>
      </c>
      <c r="AK284" s="34">
        <v>200</v>
      </c>
      <c r="AL284" s="34">
        <v>200</v>
      </c>
      <c r="AM284" s="34">
        <v>200</v>
      </c>
      <c r="AN284" s="34">
        <v>200</v>
      </c>
      <c r="AO284" s="34">
        <v>200</v>
      </c>
    </row>
    <row r="285" spans="1:41">
      <c r="A285" s="34">
        <v>165007</v>
      </c>
      <c r="B285" s="34" t="s">
        <v>597</v>
      </c>
      <c r="C285" s="34" t="s">
        <v>597</v>
      </c>
      <c r="D285" s="34" t="s">
        <v>598</v>
      </c>
      <c r="E285" s="34">
        <v>98</v>
      </c>
      <c r="F285" s="34">
        <v>120</v>
      </c>
      <c r="G285" s="34">
        <v>0</v>
      </c>
      <c r="H285" s="34">
        <v>150</v>
      </c>
      <c r="I285" s="34" t="s">
        <v>76</v>
      </c>
      <c r="J285" s="34">
        <v>-1</v>
      </c>
      <c r="K285" s="34">
        <v>0</v>
      </c>
      <c r="L285" s="34">
        <v>0</v>
      </c>
      <c r="M285" s="34"/>
      <c r="N285" s="34">
        <v>4127</v>
      </c>
      <c r="O285" s="34">
        <v>1</v>
      </c>
      <c r="P285" s="34"/>
      <c r="Q285" s="34" t="s">
        <v>598</v>
      </c>
      <c r="R285" s="34" t="s">
        <v>598</v>
      </c>
      <c r="S285" s="34">
        <v>8</v>
      </c>
      <c r="T285" s="34" t="s">
        <v>599</v>
      </c>
      <c r="U285" s="34" t="s">
        <v>599</v>
      </c>
      <c r="V285" s="34" t="s">
        <v>599</v>
      </c>
      <c r="W285" s="34" t="s">
        <v>599</v>
      </c>
      <c r="X285" s="34" t="s">
        <v>599</v>
      </c>
      <c r="Y285" s="34" t="s">
        <v>599</v>
      </c>
      <c r="Z285" s="34" t="s">
        <v>599</v>
      </c>
      <c r="AA285" s="34"/>
      <c r="AB285" s="34" t="s">
        <v>600</v>
      </c>
      <c r="AC285" s="34" t="s">
        <v>600</v>
      </c>
      <c r="AD285" s="34" t="s">
        <v>600</v>
      </c>
      <c r="AE285" s="34" t="s">
        <v>600</v>
      </c>
      <c r="AF285" s="34" t="s">
        <v>600</v>
      </c>
      <c r="AG285" s="34" t="s">
        <v>600</v>
      </c>
      <c r="AH285" s="34" t="s">
        <v>600</v>
      </c>
      <c r="AI285" s="34">
        <v>1</v>
      </c>
      <c r="AJ285" s="34">
        <v>2</v>
      </c>
      <c r="AK285" s="34">
        <v>3</v>
      </c>
      <c r="AL285" s="34">
        <v>4</v>
      </c>
      <c r="AM285" s="34">
        <v>5</v>
      </c>
      <c r="AN285" s="34">
        <v>6</v>
      </c>
      <c r="AO285" s="34">
        <v>7</v>
      </c>
    </row>
    <row r="286" spans="1:41">
      <c r="A286" s="35">
        <v>168000</v>
      </c>
      <c r="B286" s="35" t="s">
        <v>601</v>
      </c>
      <c r="C286" s="35" t="s">
        <v>601</v>
      </c>
      <c r="D286" s="35" t="s">
        <v>602</v>
      </c>
      <c r="E286" s="35">
        <v>2402</v>
      </c>
      <c r="F286" s="35">
        <v>-1</v>
      </c>
      <c r="G286" s="35">
        <v>0</v>
      </c>
      <c r="H286" s="35">
        <v>0</v>
      </c>
      <c r="I286" s="35" t="s">
        <v>43</v>
      </c>
      <c r="J286" s="35">
        <v>-1</v>
      </c>
      <c r="K286" s="35">
        <v>0</v>
      </c>
      <c r="L286" s="35">
        <v>0</v>
      </c>
      <c r="M286" s="35"/>
      <c r="N286" s="35">
        <v>1</v>
      </c>
      <c r="O286" s="35">
        <v>1</v>
      </c>
      <c r="P286" s="35"/>
      <c r="Q286" s="35" t="s">
        <v>602</v>
      </c>
      <c r="R286" s="35" t="s">
        <v>603</v>
      </c>
      <c r="S286" s="35">
        <v>1</v>
      </c>
      <c r="T286" s="35" t="s">
        <v>603</v>
      </c>
      <c r="U286" s="35" t="s">
        <v>603</v>
      </c>
      <c r="V286" s="35" t="s">
        <v>603</v>
      </c>
      <c r="W286" s="35" t="s">
        <v>603</v>
      </c>
      <c r="X286" s="35" t="s">
        <v>603</v>
      </c>
      <c r="Y286" s="35" t="s">
        <v>603</v>
      </c>
      <c r="Z286" s="35" t="s">
        <v>603</v>
      </c>
      <c r="AA286" s="35" t="s">
        <v>604</v>
      </c>
      <c r="AB286" s="35" t="s">
        <v>604</v>
      </c>
      <c r="AC286" s="35" t="s">
        <v>604</v>
      </c>
      <c r="AD286" s="35" t="s">
        <v>604</v>
      </c>
      <c r="AE286" s="35" t="s">
        <v>604</v>
      </c>
      <c r="AF286" s="35" t="s">
        <v>604</v>
      </c>
      <c r="AG286" s="35" t="s">
        <v>604</v>
      </c>
      <c r="AH286" s="35" t="s">
        <v>604</v>
      </c>
      <c r="AI286" s="35">
        <v>1</v>
      </c>
      <c r="AJ286" s="35">
        <v>200</v>
      </c>
      <c r="AK286" s="35">
        <v>200</v>
      </c>
      <c r="AL286" s="35">
        <v>200</v>
      </c>
      <c r="AM286" s="35">
        <v>200</v>
      </c>
      <c r="AN286" s="35">
        <v>200</v>
      </c>
      <c r="AO286" s="35">
        <v>200</v>
      </c>
    </row>
    <row r="287" spans="1:41">
      <c r="A287" s="35">
        <v>168001</v>
      </c>
      <c r="B287" s="35" t="s">
        <v>605</v>
      </c>
      <c r="C287" s="35" t="s">
        <v>605</v>
      </c>
      <c r="D287" s="35" t="s">
        <v>606</v>
      </c>
      <c r="E287" s="35">
        <v>2403</v>
      </c>
      <c r="F287" s="35">
        <v>100</v>
      </c>
      <c r="G287" s="35">
        <v>2.4</v>
      </c>
      <c r="H287" s="35">
        <v>10</v>
      </c>
      <c r="I287" s="35" t="s">
        <v>49</v>
      </c>
      <c r="J287" s="35">
        <v>-1</v>
      </c>
      <c r="K287" s="35">
        <v>0</v>
      </c>
      <c r="L287" s="35">
        <v>0</v>
      </c>
      <c r="M287" s="35"/>
      <c r="N287" s="35">
        <v>480</v>
      </c>
      <c r="O287" s="35">
        <v>1</v>
      </c>
      <c r="P287" s="35"/>
      <c r="Q287" s="35" t="s">
        <v>606</v>
      </c>
      <c r="R287" s="35" t="s">
        <v>607</v>
      </c>
      <c r="S287" s="35">
        <v>2</v>
      </c>
      <c r="T287" s="35" t="s">
        <v>607</v>
      </c>
      <c r="U287" s="35" t="s">
        <v>607</v>
      </c>
      <c r="V287" s="35" t="s">
        <v>607</v>
      </c>
      <c r="W287" s="35" t="s">
        <v>607</v>
      </c>
      <c r="X287" s="35" t="s">
        <v>607</v>
      </c>
      <c r="Y287" s="35" t="s">
        <v>607</v>
      </c>
      <c r="Z287" s="35" t="s">
        <v>607</v>
      </c>
      <c r="AA287" s="35" t="s">
        <v>607</v>
      </c>
      <c r="AB287" s="35" t="s">
        <v>607</v>
      </c>
      <c r="AC287" s="35" t="s">
        <v>607</v>
      </c>
      <c r="AD287" s="35" t="s">
        <v>607</v>
      </c>
      <c r="AE287" s="35" t="s">
        <v>607</v>
      </c>
      <c r="AF287" s="35" t="s">
        <v>607</v>
      </c>
      <c r="AG287" s="35" t="s">
        <v>607</v>
      </c>
      <c r="AH287" s="35" t="s">
        <v>607</v>
      </c>
      <c r="AI287" s="35">
        <v>1</v>
      </c>
      <c r="AJ287" s="35">
        <v>60</v>
      </c>
      <c r="AK287" s="35">
        <v>70</v>
      </c>
      <c r="AL287" s="35">
        <v>90</v>
      </c>
      <c r="AM287" s="35">
        <v>200</v>
      </c>
      <c r="AN287" s="35">
        <v>200</v>
      </c>
      <c r="AO287" s="35">
        <v>200</v>
      </c>
    </row>
    <row r="288" spans="1:41">
      <c r="A288" s="35">
        <v>168002</v>
      </c>
      <c r="B288" s="35" t="s">
        <v>608</v>
      </c>
      <c r="C288" s="35" t="s">
        <v>608</v>
      </c>
      <c r="D288" s="35" t="s">
        <v>609</v>
      </c>
      <c r="E288" s="35">
        <v>2392</v>
      </c>
      <c r="F288" s="35">
        <v>100</v>
      </c>
      <c r="G288" s="35">
        <v>2.4</v>
      </c>
      <c r="H288" s="35">
        <v>10</v>
      </c>
      <c r="I288" s="35" t="s">
        <v>49</v>
      </c>
      <c r="J288" s="35">
        <v>-1</v>
      </c>
      <c r="K288" s="35">
        <v>0</v>
      </c>
      <c r="L288" s="35">
        <v>0</v>
      </c>
      <c r="M288" s="35"/>
      <c r="N288" s="35">
        <v>480</v>
      </c>
      <c r="O288" s="35">
        <v>1</v>
      </c>
      <c r="P288" s="35"/>
      <c r="Q288" s="35" t="s">
        <v>609</v>
      </c>
      <c r="R288" s="35" t="s">
        <v>610</v>
      </c>
      <c r="S288" s="35">
        <v>3</v>
      </c>
      <c r="T288" s="35" t="s">
        <v>610</v>
      </c>
      <c r="U288" s="35" t="s">
        <v>610</v>
      </c>
      <c r="V288" s="35" t="s">
        <v>610</v>
      </c>
      <c r="W288" s="35" t="s">
        <v>610</v>
      </c>
      <c r="X288" s="35" t="s">
        <v>610</v>
      </c>
      <c r="Y288" s="35" t="s">
        <v>610</v>
      </c>
      <c r="Z288" s="35" t="s">
        <v>610</v>
      </c>
      <c r="AA288" s="35" t="s">
        <v>610</v>
      </c>
      <c r="AB288" s="35" t="s">
        <v>610</v>
      </c>
      <c r="AC288" s="35" t="s">
        <v>610</v>
      </c>
      <c r="AD288" s="35" t="s">
        <v>610</v>
      </c>
      <c r="AE288" s="35" t="s">
        <v>610</v>
      </c>
      <c r="AF288" s="35" t="s">
        <v>610</v>
      </c>
      <c r="AG288" s="35" t="s">
        <v>610</v>
      </c>
      <c r="AH288" s="35" t="s">
        <v>610</v>
      </c>
      <c r="AI288" s="35">
        <v>1</v>
      </c>
      <c r="AJ288" s="35">
        <v>200</v>
      </c>
      <c r="AK288" s="35">
        <v>200</v>
      </c>
      <c r="AL288" s="35">
        <v>200</v>
      </c>
      <c r="AM288" s="35">
        <v>200</v>
      </c>
      <c r="AN288" s="35">
        <v>200</v>
      </c>
      <c r="AO288" s="35">
        <v>200</v>
      </c>
    </row>
    <row r="289" spans="1:41">
      <c r="A289" s="35">
        <v>168003</v>
      </c>
      <c r="B289" s="35" t="s">
        <v>611</v>
      </c>
      <c r="C289" s="35" t="s">
        <v>611</v>
      </c>
      <c r="D289" s="35" t="s">
        <v>612</v>
      </c>
      <c r="E289" s="35">
        <v>2393</v>
      </c>
      <c r="F289" s="35">
        <v>100</v>
      </c>
      <c r="G289" s="35">
        <v>2.4</v>
      </c>
      <c r="H289" s="35">
        <v>10</v>
      </c>
      <c r="I289" s="35" t="s">
        <v>49</v>
      </c>
      <c r="J289" s="35">
        <v>-1</v>
      </c>
      <c r="K289" s="35">
        <v>0</v>
      </c>
      <c r="L289" s="35">
        <v>0</v>
      </c>
      <c r="M289" s="35"/>
      <c r="N289" s="35">
        <v>480</v>
      </c>
      <c r="O289" s="35">
        <v>1</v>
      </c>
      <c r="P289" s="35"/>
      <c r="Q289" s="35" t="s">
        <v>612</v>
      </c>
      <c r="R289" s="35" t="s">
        <v>613</v>
      </c>
      <c r="S289" s="35">
        <v>4</v>
      </c>
      <c r="T289" s="35" t="s">
        <v>613</v>
      </c>
      <c r="U289" s="35" t="s">
        <v>613</v>
      </c>
      <c r="V289" s="35" t="s">
        <v>613</v>
      </c>
      <c r="W289" s="35" t="s">
        <v>613</v>
      </c>
      <c r="X289" s="35" t="s">
        <v>613</v>
      </c>
      <c r="Y289" s="35" t="s">
        <v>613</v>
      </c>
      <c r="Z289" s="35" t="s">
        <v>613</v>
      </c>
      <c r="AA289" s="35" t="s">
        <v>614</v>
      </c>
      <c r="AB289" s="35" t="s">
        <v>614</v>
      </c>
      <c r="AC289" s="35" t="s">
        <v>614</v>
      </c>
      <c r="AD289" s="35" t="s">
        <v>614</v>
      </c>
      <c r="AE289" s="35" t="s">
        <v>614</v>
      </c>
      <c r="AF289" s="35" t="s">
        <v>614</v>
      </c>
      <c r="AG289" s="35" t="s">
        <v>614</v>
      </c>
      <c r="AH289" s="35" t="s">
        <v>614</v>
      </c>
      <c r="AI289" s="35">
        <v>1</v>
      </c>
      <c r="AJ289" s="35">
        <v>60</v>
      </c>
      <c r="AK289" s="35">
        <v>200</v>
      </c>
      <c r="AL289" s="35">
        <v>200</v>
      </c>
      <c r="AM289" s="35">
        <v>200</v>
      </c>
      <c r="AN289" s="35">
        <v>200</v>
      </c>
      <c r="AO289" s="35">
        <v>200</v>
      </c>
    </row>
    <row r="290" spans="1:41">
      <c r="A290" s="35">
        <v>168004</v>
      </c>
      <c r="B290" s="35" t="s">
        <v>615</v>
      </c>
      <c r="C290" s="35" t="s">
        <v>615</v>
      </c>
      <c r="D290" s="35" t="s">
        <v>616</v>
      </c>
      <c r="E290" s="35">
        <v>2396</v>
      </c>
      <c r="F290" s="35">
        <v>100</v>
      </c>
      <c r="G290" s="35">
        <v>2.4</v>
      </c>
      <c r="H290" s="35">
        <v>10</v>
      </c>
      <c r="I290" s="35" t="s">
        <v>49</v>
      </c>
      <c r="J290" s="35">
        <v>-1</v>
      </c>
      <c r="K290" s="35">
        <v>0</v>
      </c>
      <c r="L290" s="35">
        <v>0</v>
      </c>
      <c r="M290" s="35"/>
      <c r="N290" s="35">
        <v>480</v>
      </c>
      <c r="O290" s="35">
        <v>1</v>
      </c>
      <c r="P290" s="35"/>
      <c r="Q290" s="35" t="s">
        <v>616</v>
      </c>
      <c r="R290" s="35" t="s">
        <v>617</v>
      </c>
      <c r="S290" s="35">
        <v>5</v>
      </c>
      <c r="T290" s="35" t="s">
        <v>617</v>
      </c>
      <c r="U290" s="35" t="s">
        <v>617</v>
      </c>
      <c r="V290" s="35" t="s">
        <v>617</v>
      </c>
      <c r="W290" s="35" t="s">
        <v>617</v>
      </c>
      <c r="X290" s="35" t="s">
        <v>617</v>
      </c>
      <c r="Y290" s="35" t="s">
        <v>617</v>
      </c>
      <c r="Z290" s="35" t="s">
        <v>617</v>
      </c>
      <c r="AA290" s="35" t="s">
        <v>617</v>
      </c>
      <c r="AB290" s="35" t="s">
        <v>617</v>
      </c>
      <c r="AC290" s="35" t="s">
        <v>617</v>
      </c>
      <c r="AD290" s="35" t="s">
        <v>617</v>
      </c>
      <c r="AE290" s="35" t="s">
        <v>617</v>
      </c>
      <c r="AF290" s="35" t="s">
        <v>617</v>
      </c>
      <c r="AG290" s="35" t="s">
        <v>617</v>
      </c>
      <c r="AH290" s="35" t="s">
        <v>617</v>
      </c>
      <c r="AI290" s="35">
        <v>1</v>
      </c>
      <c r="AJ290" s="35">
        <v>200</v>
      </c>
      <c r="AK290" s="35">
        <v>200</v>
      </c>
      <c r="AL290" s="35">
        <v>200</v>
      </c>
      <c r="AM290" s="35">
        <v>200</v>
      </c>
      <c r="AN290" s="35">
        <v>200</v>
      </c>
      <c r="AO290" s="35">
        <v>200</v>
      </c>
    </row>
    <row r="291" spans="1:41">
      <c r="A291" s="35">
        <v>168005</v>
      </c>
      <c r="B291" s="35" t="s">
        <v>618</v>
      </c>
      <c r="C291" s="35" t="s">
        <v>618</v>
      </c>
      <c r="D291" s="35" t="s">
        <v>619</v>
      </c>
      <c r="E291" s="35">
        <v>2394</v>
      </c>
      <c r="F291" s="35">
        <v>100</v>
      </c>
      <c r="G291" s="35">
        <v>2.4</v>
      </c>
      <c r="H291" s="35">
        <v>10</v>
      </c>
      <c r="I291" s="35" t="s">
        <v>49</v>
      </c>
      <c r="J291" s="35">
        <v>-1</v>
      </c>
      <c r="K291" s="35">
        <v>0</v>
      </c>
      <c r="L291" s="35">
        <v>0</v>
      </c>
      <c r="M291" s="35"/>
      <c r="N291" s="35">
        <v>8192</v>
      </c>
      <c r="O291" s="35">
        <v>1</v>
      </c>
      <c r="P291" s="35"/>
      <c r="Q291" s="35" t="s">
        <v>620</v>
      </c>
      <c r="R291" s="35" t="s">
        <v>621</v>
      </c>
      <c r="S291" s="35">
        <v>6</v>
      </c>
      <c r="T291" s="35" t="s">
        <v>621</v>
      </c>
      <c r="U291" s="35" t="s">
        <v>621</v>
      </c>
      <c r="V291" s="35" t="s">
        <v>621</v>
      </c>
      <c r="W291" s="35" t="s">
        <v>621</v>
      </c>
      <c r="X291" s="35" t="s">
        <v>621</v>
      </c>
      <c r="Y291" s="35" t="s">
        <v>621</v>
      </c>
      <c r="Z291" s="35" t="s">
        <v>621</v>
      </c>
      <c r="AA291" s="35" t="s">
        <v>621</v>
      </c>
      <c r="AB291" s="35" t="s">
        <v>621</v>
      </c>
      <c r="AC291" s="35" t="s">
        <v>621</v>
      </c>
      <c r="AD291" s="35" t="s">
        <v>621</v>
      </c>
      <c r="AE291" s="35" t="s">
        <v>621</v>
      </c>
      <c r="AF291" s="35" t="s">
        <v>621</v>
      </c>
      <c r="AG291" s="35" t="s">
        <v>621</v>
      </c>
      <c r="AH291" s="35" t="s">
        <v>621</v>
      </c>
      <c r="AI291" s="35">
        <v>1</v>
      </c>
      <c r="AJ291" s="35">
        <v>200</v>
      </c>
      <c r="AK291" s="35">
        <v>200</v>
      </c>
      <c r="AL291" s="35">
        <v>200</v>
      </c>
      <c r="AM291" s="35">
        <v>200</v>
      </c>
      <c r="AN291" s="35">
        <v>200</v>
      </c>
      <c r="AO291" s="35">
        <v>200</v>
      </c>
    </row>
    <row r="292" spans="1:41">
      <c r="A292" s="35">
        <v>168006</v>
      </c>
      <c r="B292" s="35" t="s">
        <v>622</v>
      </c>
      <c r="C292" s="35" t="s">
        <v>622</v>
      </c>
      <c r="D292" s="35" t="s">
        <v>620</v>
      </c>
      <c r="E292" s="35">
        <v>2395</v>
      </c>
      <c r="F292" s="35">
        <v>-1</v>
      </c>
      <c r="G292" s="35">
        <v>0.667</v>
      </c>
      <c r="H292" s="35">
        <v>6</v>
      </c>
      <c r="I292" s="35" t="s">
        <v>71</v>
      </c>
      <c r="J292" s="35">
        <v>-1</v>
      </c>
      <c r="K292" s="35">
        <v>0</v>
      </c>
      <c r="L292" s="35">
        <v>0</v>
      </c>
      <c r="M292" s="35"/>
      <c r="N292" s="35">
        <v>1</v>
      </c>
      <c r="O292" s="35">
        <v>1</v>
      </c>
      <c r="P292" s="35"/>
      <c r="Q292" s="35" t="s">
        <v>619</v>
      </c>
      <c r="R292" s="35" t="s">
        <v>623</v>
      </c>
      <c r="S292" s="35">
        <v>7</v>
      </c>
      <c r="T292" s="35" t="s">
        <v>623</v>
      </c>
      <c r="U292" s="35" t="s">
        <v>623</v>
      </c>
      <c r="V292" s="35" t="s">
        <v>623</v>
      </c>
      <c r="W292" s="35" t="s">
        <v>623</v>
      </c>
      <c r="X292" s="35" t="s">
        <v>623</v>
      </c>
      <c r="Y292" s="35" t="s">
        <v>623</v>
      </c>
      <c r="Z292" s="35" t="s">
        <v>623</v>
      </c>
      <c r="AA292" s="35" t="s">
        <v>624</v>
      </c>
      <c r="AB292" s="35" t="s">
        <v>624</v>
      </c>
      <c r="AC292" s="35" t="s">
        <v>624</v>
      </c>
      <c r="AD292" s="35" t="s">
        <v>624</v>
      </c>
      <c r="AE292" s="35" t="s">
        <v>624</v>
      </c>
      <c r="AF292" s="35" t="s">
        <v>624</v>
      </c>
      <c r="AG292" s="35" t="s">
        <v>624</v>
      </c>
      <c r="AH292" s="35" t="s">
        <v>624</v>
      </c>
      <c r="AI292" s="35">
        <v>1</v>
      </c>
      <c r="AJ292" s="35">
        <v>200</v>
      </c>
      <c r="AK292" s="35">
        <v>200</v>
      </c>
      <c r="AL292" s="35">
        <v>200</v>
      </c>
      <c r="AM292" s="35">
        <v>200</v>
      </c>
      <c r="AN292" s="35">
        <v>200</v>
      </c>
      <c r="AO292" s="35">
        <v>200</v>
      </c>
    </row>
    <row r="293" spans="1:41">
      <c r="A293" s="35">
        <v>168007</v>
      </c>
      <c r="B293" s="35" t="s">
        <v>625</v>
      </c>
      <c r="C293" s="35" t="s">
        <v>625</v>
      </c>
      <c r="D293" s="35" t="s">
        <v>626</v>
      </c>
      <c r="E293" s="35">
        <v>2397</v>
      </c>
      <c r="F293" s="35">
        <v>120</v>
      </c>
      <c r="G293" s="35">
        <v>0</v>
      </c>
      <c r="H293" s="35">
        <v>120</v>
      </c>
      <c r="I293" s="35" t="s">
        <v>76</v>
      </c>
      <c r="J293" s="35">
        <v>-1</v>
      </c>
      <c r="K293" s="35">
        <v>0</v>
      </c>
      <c r="L293" s="35">
        <v>0</v>
      </c>
      <c r="M293" s="35"/>
      <c r="N293" s="35">
        <v>480</v>
      </c>
      <c r="O293" s="35">
        <v>1</v>
      </c>
      <c r="P293" s="35"/>
      <c r="Q293" s="35" t="s">
        <v>626</v>
      </c>
      <c r="R293" s="35" t="s">
        <v>627</v>
      </c>
      <c r="S293" s="35">
        <v>8</v>
      </c>
      <c r="T293" s="35" t="s">
        <v>627</v>
      </c>
      <c r="U293" s="35" t="s">
        <v>627</v>
      </c>
      <c r="V293" s="35" t="s">
        <v>627</v>
      </c>
      <c r="W293" s="35" t="s">
        <v>627</v>
      </c>
      <c r="X293" s="35" t="s">
        <v>627</v>
      </c>
      <c r="Y293" s="35" t="s">
        <v>627</v>
      </c>
      <c r="Z293" s="35" t="s">
        <v>627</v>
      </c>
      <c r="AA293" s="35" t="s">
        <v>627</v>
      </c>
      <c r="AB293" s="35" t="s">
        <v>627</v>
      </c>
      <c r="AC293" s="35" t="s">
        <v>627</v>
      </c>
      <c r="AD293" s="35" t="s">
        <v>627</v>
      </c>
      <c r="AE293" s="35" t="s">
        <v>627</v>
      </c>
      <c r="AF293" s="35" t="s">
        <v>627</v>
      </c>
      <c r="AG293" s="35" t="s">
        <v>627</v>
      </c>
      <c r="AH293" s="35" t="s">
        <v>627</v>
      </c>
      <c r="AI293" s="35">
        <v>1</v>
      </c>
      <c r="AJ293" s="35">
        <v>2</v>
      </c>
      <c r="AK293" s="35">
        <v>3</v>
      </c>
      <c r="AL293" s="35">
        <v>4</v>
      </c>
      <c r="AM293" s="35">
        <v>5</v>
      </c>
      <c r="AN293" s="35">
        <v>6</v>
      </c>
      <c r="AO293" s="35">
        <v>7</v>
      </c>
    </row>
    <row r="294" spans="1:41">
      <c r="A294" s="36">
        <v>169000</v>
      </c>
      <c r="B294" s="36" t="s">
        <v>628</v>
      </c>
      <c r="C294" s="36" t="s">
        <v>628</v>
      </c>
      <c r="D294" s="36" t="s">
        <v>629</v>
      </c>
      <c r="E294" s="36">
        <v>281</v>
      </c>
      <c r="F294" s="36">
        <v>-1</v>
      </c>
      <c r="G294" s="36">
        <v>0</v>
      </c>
      <c r="H294" s="36">
        <v>0</v>
      </c>
      <c r="I294" s="36" t="s">
        <v>43</v>
      </c>
      <c r="J294" s="36">
        <v>-1</v>
      </c>
      <c r="K294" s="36">
        <v>0</v>
      </c>
      <c r="L294" s="36">
        <v>0</v>
      </c>
      <c r="M294" s="36"/>
      <c r="N294" s="36">
        <v>1</v>
      </c>
      <c r="O294" s="36">
        <v>1</v>
      </c>
      <c r="P294" s="36"/>
      <c r="Q294" s="36" t="s">
        <v>629</v>
      </c>
      <c r="R294" s="36" t="s">
        <v>630</v>
      </c>
      <c r="S294" s="36">
        <v>1</v>
      </c>
      <c r="T294" s="36" t="s">
        <v>630</v>
      </c>
      <c r="U294" s="36" t="s">
        <v>630</v>
      </c>
      <c r="V294" s="36" t="s">
        <v>630</v>
      </c>
      <c r="W294" s="36" t="s">
        <v>630</v>
      </c>
      <c r="X294" s="36" t="s">
        <v>630</v>
      </c>
      <c r="Y294" s="36" t="s">
        <v>630</v>
      </c>
      <c r="Z294" s="36" t="s">
        <v>630</v>
      </c>
      <c r="AA294" s="36" t="s">
        <v>631</v>
      </c>
      <c r="AB294" s="36" t="s">
        <v>631</v>
      </c>
      <c r="AC294" s="36" t="s">
        <v>631</v>
      </c>
      <c r="AD294" s="36" t="s">
        <v>631</v>
      </c>
      <c r="AE294" s="36" t="s">
        <v>631</v>
      </c>
      <c r="AF294" s="36" t="s">
        <v>631</v>
      </c>
      <c r="AG294" s="36" t="s">
        <v>631</v>
      </c>
      <c r="AH294" s="36" t="s">
        <v>631</v>
      </c>
      <c r="AI294" s="36">
        <v>1</v>
      </c>
      <c r="AJ294" s="36">
        <v>200</v>
      </c>
      <c r="AK294" s="36">
        <v>200</v>
      </c>
      <c r="AL294" s="36">
        <v>200</v>
      </c>
      <c r="AM294" s="36">
        <v>200</v>
      </c>
      <c r="AN294" s="36">
        <v>200</v>
      </c>
      <c r="AO294" s="36">
        <v>200</v>
      </c>
    </row>
    <row r="295" spans="1:41">
      <c r="A295" s="36">
        <v>169001</v>
      </c>
      <c r="B295" s="36" t="s">
        <v>632</v>
      </c>
      <c r="C295" s="36" t="s">
        <v>632</v>
      </c>
      <c r="D295" s="36" t="s">
        <v>633</v>
      </c>
      <c r="E295" s="36">
        <v>282</v>
      </c>
      <c r="F295" s="36">
        <v>100</v>
      </c>
      <c r="G295" s="36">
        <v>2.4</v>
      </c>
      <c r="H295" s="36">
        <v>10</v>
      </c>
      <c r="I295" s="36" t="s">
        <v>49</v>
      </c>
      <c r="J295" s="36">
        <v>-1</v>
      </c>
      <c r="K295" s="36">
        <v>0</v>
      </c>
      <c r="L295" s="36">
        <v>0</v>
      </c>
      <c r="M295" s="36"/>
      <c r="N295" s="36">
        <v>480</v>
      </c>
      <c r="O295" s="36">
        <v>1</v>
      </c>
      <c r="P295" s="36"/>
      <c r="Q295" s="36" t="s">
        <v>633</v>
      </c>
      <c r="R295" s="36" t="s">
        <v>634</v>
      </c>
      <c r="S295" s="36">
        <v>2</v>
      </c>
      <c r="T295" s="36" t="s">
        <v>634</v>
      </c>
      <c r="U295" s="36" t="s">
        <v>634</v>
      </c>
      <c r="V295" s="36" t="s">
        <v>634</v>
      </c>
      <c r="W295" s="36" t="s">
        <v>634</v>
      </c>
      <c r="X295" s="36" t="s">
        <v>634</v>
      </c>
      <c r="Y295" s="36" t="s">
        <v>634</v>
      </c>
      <c r="Z295" s="36" t="s">
        <v>634</v>
      </c>
      <c r="AA295" s="36" t="s">
        <v>183</v>
      </c>
      <c r="AB295" s="36" t="s">
        <v>183</v>
      </c>
      <c r="AC295" s="36" t="s">
        <v>183</v>
      </c>
      <c r="AD295" s="36" t="s">
        <v>183</v>
      </c>
      <c r="AE295" s="36" t="s">
        <v>183</v>
      </c>
      <c r="AF295" s="36" t="s">
        <v>183</v>
      </c>
      <c r="AG295" s="36" t="s">
        <v>183</v>
      </c>
      <c r="AH295" s="36" t="s">
        <v>183</v>
      </c>
      <c r="AI295" s="36">
        <v>1</v>
      </c>
      <c r="AJ295" s="36">
        <v>60</v>
      </c>
      <c r="AK295" s="36">
        <v>70</v>
      </c>
      <c r="AL295" s="36">
        <v>90</v>
      </c>
      <c r="AM295" s="36">
        <v>200</v>
      </c>
      <c r="AN295" s="36">
        <v>200</v>
      </c>
      <c r="AO295" s="36">
        <v>200</v>
      </c>
    </row>
    <row r="296" spans="1:41">
      <c r="A296" s="36">
        <v>169002</v>
      </c>
      <c r="B296" s="36" t="s">
        <v>635</v>
      </c>
      <c r="C296" s="36" t="s">
        <v>635</v>
      </c>
      <c r="D296" s="36" t="s">
        <v>636</v>
      </c>
      <c r="E296" s="36">
        <v>283</v>
      </c>
      <c r="F296" s="36">
        <v>100</v>
      </c>
      <c r="G296" s="36">
        <v>2.4</v>
      </c>
      <c r="H296" s="36">
        <v>10</v>
      </c>
      <c r="I296" s="36" t="s">
        <v>49</v>
      </c>
      <c r="J296" s="36">
        <v>-1</v>
      </c>
      <c r="K296" s="36">
        <v>0</v>
      </c>
      <c r="L296" s="36">
        <v>0</v>
      </c>
      <c r="M296" s="36"/>
      <c r="N296" s="36">
        <v>480</v>
      </c>
      <c r="O296" s="36">
        <v>1</v>
      </c>
      <c r="P296" s="36"/>
      <c r="Q296" s="36" t="s">
        <v>636</v>
      </c>
      <c r="R296" s="36" t="s">
        <v>637</v>
      </c>
      <c r="S296" s="36">
        <v>3</v>
      </c>
      <c r="T296" s="36" t="s">
        <v>637</v>
      </c>
      <c r="U296" s="36" t="s">
        <v>637</v>
      </c>
      <c r="V296" s="36" t="s">
        <v>637</v>
      </c>
      <c r="W296" s="36" t="s">
        <v>637</v>
      </c>
      <c r="X296" s="36" t="s">
        <v>637</v>
      </c>
      <c r="Y296" s="36" t="s">
        <v>637</v>
      </c>
      <c r="Z296" s="36" t="s">
        <v>637</v>
      </c>
      <c r="AA296" s="36" t="s">
        <v>183</v>
      </c>
      <c r="AB296" s="36" t="s">
        <v>183</v>
      </c>
      <c r="AC296" s="36" t="s">
        <v>183</v>
      </c>
      <c r="AD296" s="36" t="s">
        <v>183</v>
      </c>
      <c r="AE296" s="36" t="s">
        <v>183</v>
      </c>
      <c r="AF296" s="36" t="s">
        <v>183</v>
      </c>
      <c r="AG296" s="36" t="s">
        <v>183</v>
      </c>
      <c r="AH296" s="36" t="s">
        <v>183</v>
      </c>
      <c r="AI296" s="36">
        <v>1</v>
      </c>
      <c r="AJ296" s="36">
        <v>200</v>
      </c>
      <c r="AK296" s="36">
        <v>200</v>
      </c>
      <c r="AL296" s="36">
        <v>200</v>
      </c>
      <c r="AM296" s="36">
        <v>200</v>
      </c>
      <c r="AN296" s="36">
        <v>200</v>
      </c>
      <c r="AO296" s="36">
        <v>200</v>
      </c>
    </row>
    <row r="297" spans="1:41">
      <c r="A297" s="36">
        <v>169003</v>
      </c>
      <c r="B297" s="36" t="s">
        <v>638</v>
      </c>
      <c r="C297" s="36" t="s">
        <v>638</v>
      </c>
      <c r="D297" s="36" t="s">
        <v>639</v>
      </c>
      <c r="E297" s="36">
        <v>284</v>
      </c>
      <c r="F297" s="36">
        <v>100</v>
      </c>
      <c r="G297" s="36">
        <v>2.4</v>
      </c>
      <c r="H297" s="36">
        <v>10</v>
      </c>
      <c r="I297" s="36" t="s">
        <v>49</v>
      </c>
      <c r="J297" s="36">
        <v>-1</v>
      </c>
      <c r="K297" s="36">
        <v>0</v>
      </c>
      <c r="L297" s="36">
        <v>0</v>
      </c>
      <c r="M297" s="36"/>
      <c r="N297" s="36">
        <v>4126</v>
      </c>
      <c r="O297" s="36">
        <v>1</v>
      </c>
      <c r="P297" s="36"/>
      <c r="Q297" s="36" t="s">
        <v>640</v>
      </c>
      <c r="R297" s="36" t="s">
        <v>641</v>
      </c>
      <c r="S297" s="36">
        <v>4</v>
      </c>
      <c r="T297" s="36" t="s">
        <v>641</v>
      </c>
      <c r="U297" s="36" t="s">
        <v>641</v>
      </c>
      <c r="V297" s="36" t="s">
        <v>641</v>
      </c>
      <c r="W297" s="36" t="s">
        <v>641</v>
      </c>
      <c r="X297" s="36" t="s">
        <v>641</v>
      </c>
      <c r="Y297" s="36" t="s">
        <v>641</v>
      </c>
      <c r="Z297" s="36" t="s">
        <v>641</v>
      </c>
      <c r="AA297" s="36" t="s">
        <v>183</v>
      </c>
      <c r="AB297" s="36" t="s">
        <v>183</v>
      </c>
      <c r="AC297" s="36" t="s">
        <v>183</v>
      </c>
      <c r="AD297" s="36" t="s">
        <v>183</v>
      </c>
      <c r="AE297" s="36" t="s">
        <v>183</v>
      </c>
      <c r="AF297" s="36" t="s">
        <v>183</v>
      </c>
      <c r="AG297" s="36" t="s">
        <v>183</v>
      </c>
      <c r="AH297" s="36" t="s">
        <v>183</v>
      </c>
      <c r="AI297" s="36">
        <v>1</v>
      </c>
      <c r="AJ297" s="36">
        <v>200</v>
      </c>
      <c r="AK297" s="36">
        <v>200</v>
      </c>
      <c r="AL297" s="36">
        <v>200</v>
      </c>
      <c r="AM297" s="36">
        <v>200</v>
      </c>
      <c r="AN297" s="36">
        <v>200</v>
      </c>
      <c r="AO297" s="36">
        <v>200</v>
      </c>
    </row>
    <row r="298" spans="1:41">
      <c r="A298" s="36">
        <v>169004</v>
      </c>
      <c r="B298" s="36" t="s">
        <v>642</v>
      </c>
      <c r="C298" s="36" t="s">
        <v>642</v>
      </c>
      <c r="D298" s="36" t="s">
        <v>643</v>
      </c>
      <c r="E298" s="36">
        <v>285</v>
      </c>
      <c r="F298" s="36">
        <v>100</v>
      </c>
      <c r="G298" s="36">
        <v>2.4</v>
      </c>
      <c r="H298" s="36">
        <v>10</v>
      </c>
      <c r="I298" s="36" t="s">
        <v>49</v>
      </c>
      <c r="J298" s="36">
        <v>-1</v>
      </c>
      <c r="K298" s="36">
        <v>0</v>
      </c>
      <c r="L298" s="36">
        <v>0</v>
      </c>
      <c r="M298" s="36"/>
      <c r="N298" s="36">
        <v>4126</v>
      </c>
      <c r="O298" s="36">
        <v>1</v>
      </c>
      <c r="P298" s="36"/>
      <c r="Q298" s="36" t="s">
        <v>644</v>
      </c>
      <c r="R298" s="36" t="s">
        <v>645</v>
      </c>
      <c r="S298" s="36">
        <v>5</v>
      </c>
      <c r="T298" s="36" t="s">
        <v>645</v>
      </c>
      <c r="U298" s="36" t="s">
        <v>645</v>
      </c>
      <c r="V298" s="36" t="s">
        <v>645</v>
      </c>
      <c r="W298" s="36" t="s">
        <v>645</v>
      </c>
      <c r="X298" s="36" t="s">
        <v>645</v>
      </c>
      <c r="Y298" s="36" t="s">
        <v>645</v>
      </c>
      <c r="Z298" s="36" t="s">
        <v>645</v>
      </c>
      <c r="AA298" s="36" t="s">
        <v>183</v>
      </c>
      <c r="AB298" s="36" t="s">
        <v>183</v>
      </c>
      <c r="AC298" s="36" t="s">
        <v>183</v>
      </c>
      <c r="AD298" s="36" t="s">
        <v>183</v>
      </c>
      <c r="AE298" s="36" t="s">
        <v>183</v>
      </c>
      <c r="AF298" s="36" t="s">
        <v>183</v>
      </c>
      <c r="AG298" s="36" t="s">
        <v>183</v>
      </c>
      <c r="AH298" s="36" t="s">
        <v>183</v>
      </c>
      <c r="AI298" s="36">
        <v>1</v>
      </c>
      <c r="AJ298" s="36">
        <v>200</v>
      </c>
      <c r="AK298" s="36">
        <v>200</v>
      </c>
      <c r="AL298" s="36">
        <v>200</v>
      </c>
      <c r="AM298" s="36">
        <v>200</v>
      </c>
      <c r="AN298" s="36">
        <v>200</v>
      </c>
      <c r="AO298" s="36">
        <v>200</v>
      </c>
    </row>
    <row r="299" spans="1:41">
      <c r="A299" s="36">
        <v>169005</v>
      </c>
      <c r="B299" s="36" t="s">
        <v>646</v>
      </c>
      <c r="C299" s="36" t="s">
        <v>646</v>
      </c>
      <c r="D299" s="36" t="s">
        <v>647</v>
      </c>
      <c r="E299" s="36">
        <v>286</v>
      </c>
      <c r="F299" s="36">
        <v>100</v>
      </c>
      <c r="G299" s="36">
        <v>2.4</v>
      </c>
      <c r="H299" s="36">
        <v>10</v>
      </c>
      <c r="I299" s="36" t="s">
        <v>49</v>
      </c>
      <c r="J299" s="36">
        <v>-1</v>
      </c>
      <c r="K299" s="36">
        <v>0</v>
      </c>
      <c r="L299" s="36">
        <v>0</v>
      </c>
      <c r="M299" s="36"/>
      <c r="N299" s="36">
        <v>480</v>
      </c>
      <c r="O299" s="36">
        <v>1</v>
      </c>
      <c r="P299" s="36"/>
      <c r="Q299" s="36" t="s">
        <v>648</v>
      </c>
      <c r="R299" s="36" t="s">
        <v>649</v>
      </c>
      <c r="S299" s="36">
        <v>6</v>
      </c>
      <c r="T299" s="36" t="s">
        <v>650</v>
      </c>
      <c r="U299" s="36" t="s">
        <v>650</v>
      </c>
      <c r="V299" s="36" t="s">
        <v>650</v>
      </c>
      <c r="W299" s="36" t="s">
        <v>650</v>
      </c>
      <c r="X299" s="36" t="s">
        <v>650</v>
      </c>
      <c r="Y299" s="36" t="s">
        <v>650</v>
      </c>
      <c r="Z299" s="36" t="s">
        <v>650</v>
      </c>
      <c r="AA299" s="36" t="s">
        <v>651</v>
      </c>
      <c r="AB299" s="36" t="s">
        <v>651</v>
      </c>
      <c r="AC299" s="36" t="s">
        <v>652</v>
      </c>
      <c r="AD299" s="36" t="s">
        <v>652</v>
      </c>
      <c r="AE299" s="36" t="s">
        <v>652</v>
      </c>
      <c r="AF299" s="36" t="s">
        <v>652</v>
      </c>
      <c r="AG299" s="36" t="s">
        <v>652</v>
      </c>
      <c r="AH299" s="36" t="s">
        <v>652</v>
      </c>
      <c r="AI299" s="36">
        <v>1</v>
      </c>
      <c r="AJ299" s="36">
        <v>60</v>
      </c>
      <c r="AK299" s="36">
        <v>200</v>
      </c>
      <c r="AL299" s="36">
        <v>200</v>
      </c>
      <c r="AM299" s="36">
        <v>200</v>
      </c>
      <c r="AN299" s="36">
        <v>200</v>
      </c>
      <c r="AO299" s="36">
        <v>200</v>
      </c>
    </row>
    <row r="300" spans="1:41">
      <c r="A300" s="36">
        <v>169006</v>
      </c>
      <c r="B300" s="36" t="s">
        <v>653</v>
      </c>
      <c r="C300" s="36" t="s">
        <v>653</v>
      </c>
      <c r="D300" s="36" t="s">
        <v>654</v>
      </c>
      <c r="E300" s="36">
        <v>280</v>
      </c>
      <c r="F300" s="36">
        <v>-1</v>
      </c>
      <c r="G300" s="36">
        <v>0.667</v>
      </c>
      <c r="H300" s="36">
        <v>6</v>
      </c>
      <c r="I300" s="36" t="s">
        <v>71</v>
      </c>
      <c r="J300" s="36">
        <v>-1</v>
      </c>
      <c r="K300" s="36">
        <v>0</v>
      </c>
      <c r="L300" s="36">
        <v>0</v>
      </c>
      <c r="M300" s="36"/>
      <c r="N300" s="36">
        <v>1</v>
      </c>
      <c r="O300" s="36">
        <v>1</v>
      </c>
      <c r="P300" s="36"/>
      <c r="Q300" s="36" t="s">
        <v>655</v>
      </c>
      <c r="R300" s="36" t="s">
        <v>656</v>
      </c>
      <c r="S300" s="36">
        <v>7</v>
      </c>
      <c r="T300" s="36" t="s">
        <v>656</v>
      </c>
      <c r="U300" s="36" t="s">
        <v>656</v>
      </c>
      <c r="V300" s="36" t="s">
        <v>656</v>
      </c>
      <c r="W300" s="36" t="s">
        <v>656</v>
      </c>
      <c r="X300" s="36" t="s">
        <v>656</v>
      </c>
      <c r="Y300" s="36" t="s">
        <v>656</v>
      </c>
      <c r="Z300" s="36" t="s">
        <v>656</v>
      </c>
      <c r="AA300" s="36" t="s">
        <v>183</v>
      </c>
      <c r="AB300" s="36" t="s">
        <v>183</v>
      </c>
      <c r="AC300" s="36" t="s">
        <v>183</v>
      </c>
      <c r="AD300" s="36" t="s">
        <v>183</v>
      </c>
      <c r="AE300" s="36" t="s">
        <v>183</v>
      </c>
      <c r="AF300" s="36" t="s">
        <v>183</v>
      </c>
      <c r="AG300" s="36" t="s">
        <v>183</v>
      </c>
      <c r="AH300" s="36" t="s">
        <v>183</v>
      </c>
      <c r="AI300" s="36">
        <v>1</v>
      </c>
      <c r="AJ300" s="36">
        <v>200</v>
      </c>
      <c r="AK300" s="36">
        <v>200</v>
      </c>
      <c r="AL300" s="36">
        <v>200</v>
      </c>
      <c r="AM300" s="36">
        <v>200</v>
      </c>
      <c r="AN300" s="36">
        <v>200</v>
      </c>
      <c r="AO300" s="36">
        <v>200</v>
      </c>
    </row>
    <row r="301" spans="1:41">
      <c r="A301" s="36">
        <v>169007</v>
      </c>
      <c r="B301" s="36" t="s">
        <v>657</v>
      </c>
      <c r="C301" s="36" t="s">
        <v>657</v>
      </c>
      <c r="D301" s="36" t="s">
        <v>658</v>
      </c>
      <c r="E301" s="36">
        <v>288</v>
      </c>
      <c r="F301" s="36">
        <v>120</v>
      </c>
      <c r="G301" s="36">
        <v>0</v>
      </c>
      <c r="H301" s="36">
        <v>130</v>
      </c>
      <c r="I301" s="36" t="s">
        <v>76</v>
      </c>
      <c r="J301" s="36">
        <v>-1</v>
      </c>
      <c r="K301" s="36">
        <v>0</v>
      </c>
      <c r="L301" s="36">
        <v>0</v>
      </c>
      <c r="M301" s="36"/>
      <c r="N301" s="36">
        <v>480</v>
      </c>
      <c r="O301" s="36">
        <v>1</v>
      </c>
      <c r="P301" s="36"/>
      <c r="Q301" s="36" t="s">
        <v>658</v>
      </c>
      <c r="R301" s="36" t="s">
        <v>659</v>
      </c>
      <c r="S301" s="36">
        <v>8</v>
      </c>
      <c r="T301" s="36" t="s">
        <v>659</v>
      </c>
      <c r="U301" s="36" t="s">
        <v>659</v>
      </c>
      <c r="V301" s="36" t="s">
        <v>659</v>
      </c>
      <c r="W301" s="36" t="s">
        <v>659</v>
      </c>
      <c r="X301" s="36" t="s">
        <v>659</v>
      </c>
      <c r="Y301" s="36" t="s">
        <v>659</v>
      </c>
      <c r="Z301" s="36" t="s">
        <v>659</v>
      </c>
      <c r="AA301" s="36" t="s">
        <v>183</v>
      </c>
      <c r="AB301" s="36" t="s">
        <v>183</v>
      </c>
      <c r="AC301" s="36" t="s">
        <v>183</v>
      </c>
      <c r="AD301" s="36" t="s">
        <v>183</v>
      </c>
      <c r="AE301" s="36" t="s">
        <v>183</v>
      </c>
      <c r="AF301" s="36" t="s">
        <v>183</v>
      </c>
      <c r="AG301" s="36" t="s">
        <v>183</v>
      </c>
      <c r="AH301" s="36" t="s">
        <v>183</v>
      </c>
      <c r="AI301" s="36">
        <v>1</v>
      </c>
      <c r="AJ301" s="36">
        <v>2</v>
      </c>
      <c r="AK301" s="36">
        <v>3</v>
      </c>
      <c r="AL301" s="36">
        <v>4</v>
      </c>
      <c r="AM301" s="36">
        <v>5</v>
      </c>
      <c r="AN301" s="36">
        <v>6</v>
      </c>
      <c r="AO301" s="36">
        <v>7</v>
      </c>
    </row>
  </sheetData>
  <pageMargins left="0.699305555555556" right="0.699305555555556" top="0.75" bottom="0.75" header="0.3" footer="0.3"/>
  <pageSetup paperSize="9" orientation="portrait" horizontalDpi="200" verticalDpi="300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1:AP38"/>
  <sheetViews>
    <sheetView workbookViewId="0">
      <selection activeCell="A31" sqref="$A31:$XFD38"/>
    </sheetView>
  </sheetViews>
  <sheetFormatPr defaultColWidth="8.89166666666667" defaultRowHeight="13.5"/>
  <sheetData>
    <row r="31" s="1" customFormat="1" spans="1:42">
      <c r="A31" s="2">
        <v>161000</v>
      </c>
      <c r="B31" s="3" t="s">
        <v>389</v>
      </c>
      <c r="C31" s="3" t="s">
        <v>389</v>
      </c>
      <c r="D31" s="4" t="s">
        <v>390</v>
      </c>
      <c r="E31" s="1">
        <v>65</v>
      </c>
      <c r="F31" s="1">
        <v>-1</v>
      </c>
      <c r="G31" s="1">
        <v>0</v>
      </c>
      <c r="H31" s="1">
        <v>0</v>
      </c>
      <c r="I31" s="5" t="s">
        <v>43</v>
      </c>
      <c r="J31" s="1">
        <v>-1</v>
      </c>
      <c r="K31" s="1">
        <v>0</v>
      </c>
      <c r="L31" s="1">
        <v>0</v>
      </c>
      <c r="N31" s="6">
        <v>1</v>
      </c>
      <c r="O31" s="1">
        <v>1</v>
      </c>
      <c r="Q31" s="4" t="s">
        <v>390</v>
      </c>
      <c r="R31" s="4" t="s">
        <v>391</v>
      </c>
      <c r="S31" s="5">
        <v>1</v>
      </c>
      <c r="T31" s="4" t="s">
        <v>391</v>
      </c>
      <c r="U31" s="4" t="s">
        <v>391</v>
      </c>
      <c r="V31" s="4" t="s">
        <v>391</v>
      </c>
      <c r="W31" s="4" t="s">
        <v>391</v>
      </c>
      <c r="X31" s="4" t="s">
        <v>391</v>
      </c>
      <c r="Y31" s="4" t="s">
        <v>391</v>
      </c>
      <c r="Z31" s="4" t="s">
        <v>391</v>
      </c>
      <c r="AA31" s="4" t="s">
        <v>660</v>
      </c>
      <c r="AB31" s="4" t="s">
        <v>660</v>
      </c>
      <c r="AC31" s="4" t="s">
        <v>660</v>
      </c>
      <c r="AD31" s="4" t="s">
        <v>660</v>
      </c>
      <c r="AE31" s="4" t="s">
        <v>660</v>
      </c>
      <c r="AF31" s="4" t="s">
        <v>660</v>
      </c>
      <c r="AG31" s="4" t="s">
        <v>660</v>
      </c>
      <c r="AH31" s="4" t="s">
        <v>660</v>
      </c>
      <c r="AI31" s="1">
        <v>1</v>
      </c>
      <c r="AJ31" s="1">
        <v>200</v>
      </c>
      <c r="AK31" s="1">
        <v>200</v>
      </c>
      <c r="AL31" s="1">
        <v>200</v>
      </c>
      <c r="AM31" s="1">
        <v>200</v>
      </c>
      <c r="AN31" s="1">
        <v>200</v>
      </c>
      <c r="AO31" s="1">
        <v>200</v>
      </c>
      <c r="AP31" s="5"/>
    </row>
    <row r="32" s="1" customFormat="1" spans="1:42">
      <c r="A32" s="2">
        <v>161001</v>
      </c>
      <c r="B32" s="3" t="s">
        <v>392</v>
      </c>
      <c r="C32" s="3" t="s">
        <v>392</v>
      </c>
      <c r="D32" s="4" t="s">
        <v>393</v>
      </c>
      <c r="E32" s="1">
        <v>66</v>
      </c>
      <c r="F32" s="1">
        <v>100</v>
      </c>
      <c r="G32" s="1">
        <v>2.4</v>
      </c>
      <c r="H32" s="1">
        <v>10</v>
      </c>
      <c r="I32" s="5" t="s">
        <v>49</v>
      </c>
      <c r="J32" s="1">
        <v>-1</v>
      </c>
      <c r="K32" s="1">
        <v>0</v>
      </c>
      <c r="L32" s="1">
        <v>0</v>
      </c>
      <c r="N32" s="6">
        <v>480</v>
      </c>
      <c r="O32" s="1">
        <v>1</v>
      </c>
      <c r="Q32" s="4" t="s">
        <v>393</v>
      </c>
      <c r="R32" s="4" t="s">
        <v>394</v>
      </c>
      <c r="S32" s="5">
        <v>2</v>
      </c>
      <c r="T32" s="4" t="s">
        <v>394</v>
      </c>
      <c r="U32" s="4" t="s">
        <v>394</v>
      </c>
      <c r="V32" s="4" t="s">
        <v>394</v>
      </c>
      <c r="W32" s="4" t="s">
        <v>394</v>
      </c>
      <c r="X32" s="4" t="s">
        <v>394</v>
      </c>
      <c r="Y32" s="4" t="s">
        <v>394</v>
      </c>
      <c r="Z32" s="4" t="s">
        <v>394</v>
      </c>
      <c r="AA32" s="4" t="s">
        <v>183</v>
      </c>
      <c r="AB32" s="4" t="s">
        <v>183</v>
      </c>
      <c r="AC32" s="4" t="s">
        <v>183</v>
      </c>
      <c r="AD32" s="4" t="s">
        <v>183</v>
      </c>
      <c r="AE32" s="4" t="s">
        <v>183</v>
      </c>
      <c r="AF32" s="4" t="s">
        <v>183</v>
      </c>
      <c r="AG32" s="4" t="s">
        <v>183</v>
      </c>
      <c r="AH32" s="4" t="s">
        <v>183</v>
      </c>
      <c r="AI32" s="1">
        <v>1</v>
      </c>
      <c r="AJ32" s="1">
        <v>60</v>
      </c>
      <c r="AK32" s="1">
        <v>70</v>
      </c>
      <c r="AL32" s="1">
        <v>90</v>
      </c>
      <c r="AM32" s="1">
        <v>200</v>
      </c>
      <c r="AN32" s="1">
        <v>200</v>
      </c>
      <c r="AO32" s="1">
        <v>200</v>
      </c>
      <c r="AP32" s="5"/>
    </row>
    <row r="33" s="1" customFormat="1" spans="1:42">
      <c r="A33" s="2">
        <v>161002</v>
      </c>
      <c r="B33" s="3" t="s">
        <v>406</v>
      </c>
      <c r="C33" s="3" t="s">
        <v>406</v>
      </c>
      <c r="D33" s="4" t="s">
        <v>661</v>
      </c>
      <c r="E33" s="1">
        <v>67</v>
      </c>
      <c r="F33" s="1">
        <v>100</v>
      </c>
      <c r="G33" s="1">
        <v>2.4</v>
      </c>
      <c r="H33" s="1">
        <v>10</v>
      </c>
      <c r="I33" s="5" t="s">
        <v>49</v>
      </c>
      <c r="J33" s="1">
        <v>-1</v>
      </c>
      <c r="K33" s="1">
        <v>0</v>
      </c>
      <c r="L33" s="1">
        <v>0</v>
      </c>
      <c r="N33" s="6">
        <v>8192</v>
      </c>
      <c r="O33" s="1">
        <v>1</v>
      </c>
      <c r="Q33" s="4" t="s">
        <v>661</v>
      </c>
      <c r="R33" s="4" t="s">
        <v>662</v>
      </c>
      <c r="S33" s="5">
        <v>3</v>
      </c>
      <c r="T33" s="4" t="s">
        <v>662</v>
      </c>
      <c r="U33" s="4" t="s">
        <v>662</v>
      </c>
      <c r="V33" s="4" t="s">
        <v>662</v>
      </c>
      <c r="W33" s="4" t="s">
        <v>662</v>
      </c>
      <c r="X33" s="4" t="s">
        <v>662</v>
      </c>
      <c r="Y33" s="4" t="s">
        <v>662</v>
      </c>
      <c r="Z33" s="4" t="s">
        <v>662</v>
      </c>
      <c r="AA33" s="4" t="s">
        <v>183</v>
      </c>
      <c r="AB33" s="4" t="s">
        <v>183</v>
      </c>
      <c r="AC33" s="4" t="s">
        <v>183</v>
      </c>
      <c r="AD33" s="4" t="s">
        <v>183</v>
      </c>
      <c r="AE33" s="4" t="s">
        <v>183</v>
      </c>
      <c r="AF33" s="4" t="s">
        <v>183</v>
      </c>
      <c r="AG33" s="4" t="s">
        <v>183</v>
      </c>
      <c r="AH33" s="4" t="s">
        <v>183</v>
      </c>
      <c r="AI33" s="1">
        <v>1</v>
      </c>
      <c r="AJ33" s="1">
        <v>60</v>
      </c>
      <c r="AK33" s="1">
        <v>90</v>
      </c>
      <c r="AL33" s="1">
        <v>200</v>
      </c>
      <c r="AM33" s="1">
        <v>200</v>
      </c>
      <c r="AN33" s="1">
        <v>200</v>
      </c>
      <c r="AO33" s="1">
        <v>200</v>
      </c>
      <c r="AP33" s="5"/>
    </row>
    <row r="34" s="1" customFormat="1" spans="1:42">
      <c r="A34" s="2">
        <v>161003</v>
      </c>
      <c r="B34" s="3" t="s">
        <v>397</v>
      </c>
      <c r="C34" s="3" t="s">
        <v>397</v>
      </c>
      <c r="D34" s="4" t="s">
        <v>398</v>
      </c>
      <c r="E34" s="1">
        <v>68</v>
      </c>
      <c r="F34" s="1">
        <v>100</v>
      </c>
      <c r="G34" s="1">
        <v>2.4</v>
      </c>
      <c r="H34" s="1">
        <v>10</v>
      </c>
      <c r="I34" s="5" t="s">
        <v>49</v>
      </c>
      <c r="J34" s="1">
        <v>-1</v>
      </c>
      <c r="K34" s="1">
        <v>0</v>
      </c>
      <c r="L34" s="1">
        <v>0</v>
      </c>
      <c r="N34" s="6">
        <v>480</v>
      </c>
      <c r="O34" s="1">
        <v>1</v>
      </c>
      <c r="Q34" s="4" t="s">
        <v>398</v>
      </c>
      <c r="R34" s="4" t="s">
        <v>399</v>
      </c>
      <c r="S34" s="5">
        <v>4</v>
      </c>
      <c r="T34" s="4" t="s">
        <v>399</v>
      </c>
      <c r="U34" s="4" t="s">
        <v>399</v>
      </c>
      <c r="V34" s="4" t="s">
        <v>399</v>
      </c>
      <c r="W34" s="4" t="s">
        <v>399</v>
      </c>
      <c r="X34" s="4" t="s">
        <v>399</v>
      </c>
      <c r="Y34" s="4" t="s">
        <v>399</v>
      </c>
      <c r="Z34" s="4" t="s">
        <v>399</v>
      </c>
      <c r="AA34" s="4" t="s">
        <v>663</v>
      </c>
      <c r="AB34" s="4" t="s">
        <v>663</v>
      </c>
      <c r="AC34" s="4" t="s">
        <v>663</v>
      </c>
      <c r="AD34" s="4" t="s">
        <v>663</v>
      </c>
      <c r="AE34" s="4" t="s">
        <v>663</v>
      </c>
      <c r="AF34" s="4" t="s">
        <v>663</v>
      </c>
      <c r="AG34" s="4" t="s">
        <v>663</v>
      </c>
      <c r="AH34" s="4" t="s">
        <v>663</v>
      </c>
      <c r="AI34" s="1">
        <v>1</v>
      </c>
      <c r="AJ34" s="1">
        <v>200</v>
      </c>
      <c r="AK34" s="1">
        <v>200</v>
      </c>
      <c r="AL34" s="1">
        <v>200</v>
      </c>
      <c r="AM34" s="1">
        <v>200</v>
      </c>
      <c r="AN34" s="1">
        <v>200</v>
      </c>
      <c r="AO34" s="1">
        <v>200</v>
      </c>
      <c r="AP34" s="5"/>
    </row>
    <row r="35" s="1" customFormat="1" spans="1:42">
      <c r="A35" s="2">
        <v>161004</v>
      </c>
      <c r="B35" s="3" t="s">
        <v>401</v>
      </c>
      <c r="C35" s="3" t="s">
        <v>401</v>
      </c>
      <c r="D35" s="4" t="s">
        <v>402</v>
      </c>
      <c r="E35" s="1">
        <v>69</v>
      </c>
      <c r="F35" s="1">
        <v>100</v>
      </c>
      <c r="G35" s="1">
        <v>2.4</v>
      </c>
      <c r="H35" s="1">
        <v>10</v>
      </c>
      <c r="I35" s="5" t="s">
        <v>49</v>
      </c>
      <c r="J35" s="1">
        <v>-1</v>
      </c>
      <c r="K35" s="1">
        <v>0</v>
      </c>
      <c r="L35" s="1">
        <v>0</v>
      </c>
      <c r="N35" s="6">
        <v>1</v>
      </c>
      <c r="O35" s="1">
        <v>1</v>
      </c>
      <c r="Q35" s="4" t="s">
        <v>402</v>
      </c>
      <c r="R35" s="4" t="s">
        <v>403</v>
      </c>
      <c r="S35" s="5">
        <v>5</v>
      </c>
      <c r="T35" s="4" t="s">
        <v>403</v>
      </c>
      <c r="U35" s="4" t="s">
        <v>403</v>
      </c>
      <c r="V35" s="4" t="s">
        <v>403</v>
      </c>
      <c r="W35" s="4" t="s">
        <v>403</v>
      </c>
      <c r="X35" s="4" t="s">
        <v>403</v>
      </c>
      <c r="Y35" s="4" t="s">
        <v>403</v>
      </c>
      <c r="Z35" s="4" t="s">
        <v>403</v>
      </c>
      <c r="AA35" s="4" t="s">
        <v>664</v>
      </c>
      <c r="AB35" s="4" t="s">
        <v>664</v>
      </c>
      <c r="AC35" s="4" t="s">
        <v>664</v>
      </c>
      <c r="AD35" s="4" t="s">
        <v>664</v>
      </c>
      <c r="AE35" s="4" t="s">
        <v>664</v>
      </c>
      <c r="AF35" s="4" t="s">
        <v>664</v>
      </c>
      <c r="AG35" s="4" t="s">
        <v>664</v>
      </c>
      <c r="AH35" s="4" t="s">
        <v>664</v>
      </c>
      <c r="AI35" s="1">
        <v>1</v>
      </c>
      <c r="AJ35" s="1">
        <v>60</v>
      </c>
      <c r="AK35" s="1">
        <v>90</v>
      </c>
      <c r="AL35" s="1">
        <v>200</v>
      </c>
      <c r="AM35" s="1">
        <v>200</v>
      </c>
      <c r="AN35" s="1">
        <v>200</v>
      </c>
      <c r="AO35" s="1">
        <v>200</v>
      </c>
      <c r="AP35" s="5"/>
    </row>
    <row r="36" s="1" customFormat="1" spans="1:42">
      <c r="A36" s="2">
        <v>161005</v>
      </c>
      <c r="B36" s="3" t="s">
        <v>665</v>
      </c>
      <c r="C36" s="3" t="s">
        <v>665</v>
      </c>
      <c r="D36" s="4" t="s">
        <v>666</v>
      </c>
      <c r="E36" s="1">
        <v>70</v>
      </c>
      <c r="F36" s="1">
        <v>100</v>
      </c>
      <c r="G36" s="1">
        <v>2.4</v>
      </c>
      <c r="H36" s="1">
        <v>10</v>
      </c>
      <c r="I36" s="5" t="s">
        <v>49</v>
      </c>
      <c r="J36" s="1">
        <v>-1</v>
      </c>
      <c r="K36" s="1">
        <v>0</v>
      </c>
      <c r="L36" s="1">
        <v>0</v>
      </c>
      <c r="N36" s="6">
        <v>8192</v>
      </c>
      <c r="O36" s="1">
        <v>1</v>
      </c>
      <c r="Q36" s="4" t="s">
        <v>666</v>
      </c>
      <c r="R36" s="4" t="s">
        <v>667</v>
      </c>
      <c r="S36" s="5">
        <v>6</v>
      </c>
      <c r="T36" s="4" t="s">
        <v>667</v>
      </c>
      <c r="U36" s="4" t="s">
        <v>667</v>
      </c>
      <c r="V36" s="4" t="s">
        <v>667</v>
      </c>
      <c r="W36" s="4" t="s">
        <v>667</v>
      </c>
      <c r="X36" s="4" t="s">
        <v>667</v>
      </c>
      <c r="Y36" s="4" t="s">
        <v>667</v>
      </c>
      <c r="Z36" s="4" t="s">
        <v>667</v>
      </c>
      <c r="AA36" s="4" t="s">
        <v>668</v>
      </c>
      <c r="AB36" s="4" t="s">
        <v>668</v>
      </c>
      <c r="AC36" s="4" t="s">
        <v>668</v>
      </c>
      <c r="AD36" s="4" t="s">
        <v>668</v>
      </c>
      <c r="AE36" s="4" t="s">
        <v>668</v>
      </c>
      <c r="AF36" s="4" t="s">
        <v>668</v>
      </c>
      <c r="AG36" s="4" t="s">
        <v>668</v>
      </c>
      <c r="AH36" s="4" t="s">
        <v>668</v>
      </c>
      <c r="AI36" s="1">
        <v>1</v>
      </c>
      <c r="AJ36" s="1">
        <v>60</v>
      </c>
      <c r="AK36" s="1">
        <v>90</v>
      </c>
      <c r="AL36" s="1">
        <v>200</v>
      </c>
      <c r="AM36" s="1">
        <v>200</v>
      </c>
      <c r="AN36" s="1">
        <v>200</v>
      </c>
      <c r="AO36" s="1">
        <v>200</v>
      </c>
      <c r="AP36" s="5"/>
    </row>
    <row r="37" s="1" customFormat="1" spans="1:42">
      <c r="A37" s="2">
        <v>161006</v>
      </c>
      <c r="B37" s="3" t="s">
        <v>414</v>
      </c>
      <c r="C37" s="3" t="s">
        <v>414</v>
      </c>
      <c r="D37" s="4" t="s">
        <v>415</v>
      </c>
      <c r="E37" s="1">
        <v>71</v>
      </c>
      <c r="F37" s="1">
        <v>-1</v>
      </c>
      <c r="G37" s="1">
        <v>0.667</v>
      </c>
      <c r="H37" s="1">
        <v>6</v>
      </c>
      <c r="I37" s="5" t="s">
        <v>71</v>
      </c>
      <c r="J37" s="1">
        <v>-1</v>
      </c>
      <c r="K37" s="1">
        <v>0</v>
      </c>
      <c r="L37" s="1">
        <v>0</v>
      </c>
      <c r="N37" s="6">
        <v>1</v>
      </c>
      <c r="O37" s="1">
        <v>1</v>
      </c>
      <c r="Q37" s="4" t="s">
        <v>415</v>
      </c>
      <c r="R37" s="4" t="s">
        <v>416</v>
      </c>
      <c r="S37" s="5">
        <v>7</v>
      </c>
      <c r="T37" s="4" t="s">
        <v>416</v>
      </c>
      <c r="U37" s="4" t="s">
        <v>416</v>
      </c>
      <c r="V37" s="4" t="s">
        <v>416</v>
      </c>
      <c r="W37" s="4" t="s">
        <v>416</v>
      </c>
      <c r="X37" s="4" t="s">
        <v>416</v>
      </c>
      <c r="Y37" s="4" t="s">
        <v>416</v>
      </c>
      <c r="Z37" s="4" t="s">
        <v>416</v>
      </c>
      <c r="AA37" s="4" t="s">
        <v>669</v>
      </c>
      <c r="AB37" s="4" t="s">
        <v>669</v>
      </c>
      <c r="AC37" s="4" t="s">
        <v>669</v>
      </c>
      <c r="AD37" s="4" t="s">
        <v>669</v>
      </c>
      <c r="AE37" s="4" t="s">
        <v>669</v>
      </c>
      <c r="AF37" s="4" t="s">
        <v>669</v>
      </c>
      <c r="AG37" s="4" t="s">
        <v>669</v>
      </c>
      <c r="AH37" s="4" t="s">
        <v>669</v>
      </c>
      <c r="AI37" s="1">
        <v>1</v>
      </c>
      <c r="AJ37" s="1">
        <v>200</v>
      </c>
      <c r="AK37" s="1">
        <v>200</v>
      </c>
      <c r="AL37" s="1">
        <v>200</v>
      </c>
      <c r="AM37" s="1">
        <v>200</v>
      </c>
      <c r="AN37" s="1">
        <v>200</v>
      </c>
      <c r="AO37" s="1">
        <v>200</v>
      </c>
      <c r="AP37" s="5"/>
    </row>
    <row r="38" s="1" customFormat="1" spans="1:42">
      <c r="A38" s="2">
        <v>161007</v>
      </c>
      <c r="B38" s="3" t="s">
        <v>418</v>
      </c>
      <c r="C38" s="3" t="s">
        <v>418</v>
      </c>
      <c r="D38" s="4" t="s">
        <v>419</v>
      </c>
      <c r="E38" s="1">
        <v>72</v>
      </c>
      <c r="F38" s="1">
        <v>120</v>
      </c>
      <c r="G38" s="1">
        <v>0</v>
      </c>
      <c r="H38" s="1">
        <v>120</v>
      </c>
      <c r="I38" s="5" t="s">
        <v>76</v>
      </c>
      <c r="J38" s="1">
        <v>-1</v>
      </c>
      <c r="K38" s="1">
        <v>0</v>
      </c>
      <c r="L38" s="1">
        <v>0</v>
      </c>
      <c r="N38" s="6">
        <v>480</v>
      </c>
      <c r="O38" s="1">
        <v>1</v>
      </c>
      <c r="Q38" s="4" t="s">
        <v>419</v>
      </c>
      <c r="R38" s="4" t="s">
        <v>420</v>
      </c>
      <c r="S38" s="5">
        <v>8</v>
      </c>
      <c r="T38" s="4" t="s">
        <v>420</v>
      </c>
      <c r="U38" s="4" t="s">
        <v>420</v>
      </c>
      <c r="V38" s="4" t="s">
        <v>420</v>
      </c>
      <c r="W38" s="4" t="s">
        <v>420</v>
      </c>
      <c r="X38" s="4" t="s">
        <v>420</v>
      </c>
      <c r="Y38" s="4" t="s">
        <v>420</v>
      </c>
      <c r="Z38" s="4" t="s">
        <v>420</v>
      </c>
      <c r="AA38" s="4" t="s">
        <v>78</v>
      </c>
      <c r="AB38" s="4" t="s">
        <v>78</v>
      </c>
      <c r="AC38" s="4" t="s">
        <v>78</v>
      </c>
      <c r="AD38" s="4" t="s">
        <v>78</v>
      </c>
      <c r="AE38" s="4" t="s">
        <v>78</v>
      </c>
      <c r="AF38" s="4" t="s">
        <v>78</v>
      </c>
      <c r="AG38" s="4" t="s">
        <v>78</v>
      </c>
      <c r="AH38" s="4" t="s">
        <v>78</v>
      </c>
      <c r="AI38" s="1">
        <v>1</v>
      </c>
      <c r="AJ38" s="1">
        <v>2</v>
      </c>
      <c r="AK38" s="1">
        <v>3</v>
      </c>
      <c r="AL38" s="1">
        <v>4</v>
      </c>
      <c r="AM38" s="1">
        <v>5</v>
      </c>
      <c r="AN38" s="1">
        <v>6</v>
      </c>
      <c r="AO38" s="1">
        <v>7</v>
      </c>
      <c r="AP38" s="5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We动态</cp:lastModifiedBy>
  <dcterms:created xsi:type="dcterms:W3CDTF">2015-01-15T16:55:00Z</dcterms:created>
  <dcterms:modified xsi:type="dcterms:W3CDTF">2025-05-10T17:45:33Z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2052-12.1.0.21171</vt:lpwstr>
  </property>
  <property fmtid="{D5CDD505-2E9C-101B-9397-08002B2CF9AE}" pid="3" name="ICV">
    <vt:lpwstr>50A2F8A754E9466EBF2FB4824430ED0E</vt:lpwstr>
  </property>
</Properties>
</file>